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A &amp; PD\Infra portal data\Provincial &amp; District data Salman\Punjab\"/>
    </mc:Choice>
  </mc:AlternateContent>
  <xr:revisionPtr revIDLastSave="0" documentId="13_ncr:1_{609F92A2-1DA8-45A9-A17F-A228C0599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jab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7" i="5" l="1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D18" i="5" l="1"/>
  <c r="D1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2" i="5"/>
</calcChain>
</file>

<file path=xl/sharedStrings.xml><?xml version="1.0" encoding="utf-8"?>
<sst xmlns="http://schemas.openxmlformats.org/spreadsheetml/2006/main" count="67" uniqueCount="64">
  <si>
    <t>Total</t>
  </si>
  <si>
    <t>Districts</t>
  </si>
  <si>
    <t>Brick Masonry</t>
  </si>
  <si>
    <t>Block Masonry</t>
  </si>
  <si>
    <t>Stone Masonry</t>
  </si>
  <si>
    <t>Timber</t>
  </si>
  <si>
    <t>Adobe</t>
  </si>
  <si>
    <t>Total Str</t>
  </si>
  <si>
    <t>Attock</t>
  </si>
  <si>
    <t>Bahawalnagar</t>
  </si>
  <si>
    <t>Bahawalpur</t>
  </si>
  <si>
    <t>Bhakkar</t>
  </si>
  <si>
    <t>Chakwal</t>
  </si>
  <si>
    <t>Chiniot</t>
  </si>
  <si>
    <t>Dera Ghazi Khan</t>
  </si>
  <si>
    <t>Faisalabad</t>
  </si>
  <si>
    <t>Gujranwala</t>
  </si>
  <si>
    <t>Gujrat</t>
  </si>
  <si>
    <t>Hafizabad</t>
  </si>
  <si>
    <t>Jhelum</t>
  </si>
  <si>
    <t>Jhang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</si>
  <si>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</si>
  <si>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</si>
  <si>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</si>
  <si>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</si>
  <si>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</si>
  <si>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</si>
  <si>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</si>
  <si>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</si>
  <si>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</si>
  <si>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</si>
  <si>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</si>
  <si>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</si>
  <si>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</si>
  <si>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</si>
  <si>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</si>
  <si>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</si>
  <si>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</si>
  <si>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</si>
  <si>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</si>
  <si>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</si>
  <si>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</si>
  <si>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</si>
  <si>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Vehari</t>
  </si>
  <si>
    <t>Male</t>
  </si>
  <si>
    <t>Female</t>
  </si>
  <si>
    <t>Area</t>
  </si>
  <si>
    <t>DENSITY /SQ.K.M</t>
  </si>
  <si>
    <t>AVR H.H SIZE</t>
  </si>
  <si>
    <t>Hospitals</t>
  </si>
  <si>
    <t>Dispensaries</t>
  </si>
  <si>
    <t>TB Clinics</t>
  </si>
  <si>
    <t>RHCs</t>
  </si>
  <si>
    <t>BHUs</t>
  </si>
  <si>
    <t>SHC</t>
  </si>
  <si>
    <t>MCH</t>
  </si>
  <si>
    <t>Trauma</t>
  </si>
  <si>
    <t>National Highways</t>
  </si>
  <si>
    <t>Motorway</t>
  </si>
  <si>
    <t>Roads</t>
  </si>
  <si>
    <t>Primary School</t>
  </si>
  <si>
    <t>Middle School</t>
  </si>
  <si>
    <t>High School</t>
  </si>
  <si>
    <t>Higher Secondary 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</si>
</sst>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>
      <alignment vertical="top"/>
    </xf>
  </cellStyleXfs>
  <cellXfs count="15">
    <xf numFmtId="0" fontId="0" fillId="0" borderId="0" xfId="0"/>
    <xf numFmtId="0" fontId="0" fillId="0" borderId="0" xfId="0" applyFont="1"/>
    <xf numFmtId="164" fontId="4" fillId="0" borderId="0" xfId="0" applyNumberFormat="1" applyFont="1" applyAlignment="1">
      <alignment vertical="center"/>
    </xf>
    <xf numFmtId="0" fontId="0" fillId="0" borderId="0" xfId="0" applyBorder="1" applyAlignment="1">
      <alignment horizontal="center"/>
    </xf>
    <xf numFmtId="164" fontId="4" fillId="0" borderId="0" xfId="0" applyNumberFormat="1" applyFont="1" applyBorder="1" applyAlignment="1">
      <alignment vertical="center"/>
    </xf>
    <xf numFmtId="0" fontId="1" fillId="0" borderId="0" xfId="1" applyFont="1" applyFill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164" fontId="4" fillId="0" borderId="0" xfId="0" applyNumberFormat="1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Fill="1" applyAlignment="1">
      <alignment vertical="center"/>
    </xf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982E-8240-400D-BE7E-7D9D04910FB1}">
  <dimension ref="A1:AU75"/>
  <sheetViews>
    <sheetView tabSelected="1" topLeftCell="Q1" zoomScale="85" zoomScaleNormal="85" workbookViewId="0">
      <selection activeCell="AH37" sqref="AH37"/>
    </sheetView>
  </sheetViews>
  <sheetFormatPr defaultRowHeight="15" x14ac:dyDescent="0.25"/>
  <cols>
    <col min="1" max="1" width="17.5703125" style="4" bestFit="1" customWidth="1"/>
    <col min="2" max="3" width="10.42578125" style="10" bestFit="1" customWidth="1"/>
    <col min="4" max="4" width="11.5703125" style="10" bestFit="1" customWidth="1"/>
    <col min="5" max="5" width="7.5703125" style="10" bestFit="1" customWidth="1"/>
    <col min="6" max="6" width="16.42578125" style="10" bestFit="1" customWidth="1"/>
    <col min="7" max="7" width="12.42578125" style="11" bestFit="1" customWidth="1"/>
    <col min="8" max="8" width="13.5703125" style="10" bestFit="1" customWidth="1"/>
    <col min="9" max="9" width="14" style="10" bestFit="1" customWidth="1"/>
    <col min="10" max="10" width="14.42578125" style="10" bestFit="1" customWidth="1"/>
    <col min="11" max="11" width="7.28515625" style="10" bestFit="1" customWidth="1"/>
    <col min="12" max="12" width="6.85546875" style="10" bestFit="1" customWidth="1"/>
    <col min="13" max="13" width="10.42578125" style="10" bestFit="1" customWidth="1"/>
    <col min="14" max="14" width="9.140625" style="11" bestFit="1" customWidth="1"/>
    <col min="15" max="15" width="12.28515625" style="11" bestFit="1" customWidth="1"/>
    <col min="16" max="16" width="5.5703125" style="11" bestFit="1" customWidth="1"/>
    <col min="17" max="17" width="5.85546875" style="11" bestFit="1" customWidth="1"/>
    <col min="18" max="18" width="9.28515625" style="11" bestFit="1" customWidth="1"/>
    <col min="19" max="19" width="4.5703125" style="11" bestFit="1" customWidth="1"/>
    <col min="20" max="20" width="5.28515625" style="11" bestFit="1" customWidth="1"/>
    <col min="21" max="21" width="7.5703125" style="11" bestFit="1" customWidth="1"/>
    <col min="22" max="22" width="5.42578125" style="11" bestFit="1" customWidth="1"/>
    <col min="23" max="23" width="17.7109375" style="4" bestFit="1" customWidth="1"/>
    <col min="24" max="24" width="10.140625" style="4" bestFit="1" customWidth="1"/>
    <col min="25" max="25" width="6.28515625" style="4" bestFit="1" customWidth="1"/>
    <col min="26" max="26" width="5.42578125" style="4" bestFit="1" customWidth="1"/>
    <col min="27" max="27" width="15.42578125" style="2" bestFit="1" customWidth="1"/>
    <col min="28" max="28" width="14.28515625" style="2" bestFit="1" customWidth="1"/>
    <col min="29" max="29" width="12.42578125" style="2" bestFit="1" customWidth="1"/>
    <col min="30" max="30" width="25.7109375" style="2" bestFit="1" customWidth="1"/>
    <col min="31" max="31" width="16.7109375" style="2" bestFit="1" customWidth="1"/>
    <col min="32" max="36" width="9.140625" style="2"/>
    <col min="37" max="37" width="12.85546875" style="2" bestFit="1" customWidth="1"/>
    <col min="38" max="47" width="9.140625" style="2"/>
    <col min="48" max="16384" width="9.140625" style="1"/>
  </cols>
  <sheetData>
    <row r="1" spans="1:47" s="5" customFormat="1" x14ac:dyDescent="0.25">
      <c r="A1" s="6" t="s">
        <v>1</v>
      </c>
      <c r="B1" s="6" t="s">
        <v>44</v>
      </c>
      <c r="C1" s="6" t="s">
        <v>45</v>
      </c>
      <c r="D1" s="6" t="s">
        <v>0</v>
      </c>
      <c r="E1" s="6" t="s">
        <v>46</v>
      </c>
      <c r="F1" s="6" t="s">
        <v>47</v>
      </c>
      <c r="G1" s="6" t="s">
        <v>48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49</v>
      </c>
      <c r="O1" s="6" t="s">
        <v>50</v>
      </c>
      <c r="P1" s="6" t="s">
        <v>52</v>
      </c>
      <c r="Q1" s="6" t="s">
        <v>53</v>
      </c>
      <c r="R1" s="6" t="s">
        <v>51</v>
      </c>
      <c r="S1" s="6" t="s">
        <v>54</v>
      </c>
      <c r="T1" s="6" t="s">
        <v>55</v>
      </c>
      <c r="U1" s="6" t="s">
        <v>56</v>
      </c>
      <c r="V1" s="6" t="s">
        <v>0</v>
      </c>
      <c r="W1" s="7" t="s">
        <v>57</v>
      </c>
      <c r="X1" s="7" t="s">
        <v>58</v>
      </c>
      <c r="Y1" s="8" t="s">
        <v>59</v>
      </c>
      <c r="Z1" s="7" t="s">
        <v>0</v>
      </c>
      <c r="AA1" s="12" t="s">
        <v>60</v>
      </c>
      <c r="AB1" s="12" t="s">
        <v>61</v>
      </c>
      <c r="AC1" s="12" t="s">
        <v>62</v>
      </c>
      <c r="AD1" s="13" t="s">
        <v>63</v>
      </c>
      <c r="AE1" s="14" t="s">
        <v>0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</row>
    <row r="2" spans="1:47" x14ac:dyDescent="0.25">
      <c r="A2" s="4" t="s">
        <v>8</v>
      </c>
      <c r="B2" s="4">
        <v>1089736</v>
      </c>
      <c r="C2" s="4">
        <v>1080687</v>
      </c>
      <c r="D2" s="4">
        <f>SUM(B2:C2)</f>
        <v>2170423</v>
      </c>
      <c r="E2" s="4">
        <v>6857</v>
      </c>
      <c r="F2" s="4">
        <v>316.52661513781538</v>
      </c>
      <c r="G2" s="4">
        <v>6.1</v>
      </c>
      <c r="H2" s="4">
        <v>39.89469664998694</v>
      </c>
      <c r="I2" s="4">
        <v>38.029380438496013</v>
      </c>
      <c r="J2" s="4">
        <v>12.190269488153373</v>
      </c>
      <c r="K2" s="4">
        <v>0.72506581459375818</v>
      </c>
      <c r="L2" s="4">
        <v>9.1605876087699194</v>
      </c>
      <c r="M2" s="4">
        <v>248805</v>
      </c>
      <c r="N2" s="9">
        <v>7</v>
      </c>
      <c r="O2" s="9">
        <v>8</v>
      </c>
      <c r="P2" s="9">
        <v>6</v>
      </c>
      <c r="Q2" s="9">
        <v>58</v>
      </c>
      <c r="R2" s="9">
        <v>0</v>
      </c>
      <c r="S2" s="9">
        <v>2</v>
      </c>
      <c r="T2" s="9">
        <v>5</v>
      </c>
      <c r="U2" s="9">
        <v>0</v>
      </c>
      <c r="V2" s="9">
        <f>SUM(N2:U2)</f>
        <v>86</v>
      </c>
      <c r="W2" s="3">
        <v>0</v>
      </c>
      <c r="X2" s="3">
        <v>175</v>
      </c>
      <c r="Y2" s="3">
        <v>2331</v>
      </c>
      <c r="Z2" s="3">
        <v>2506</v>
      </c>
      <c r="AA2" s="4">
        <v>528</v>
      </c>
      <c r="AB2" s="4">
        <v>180</v>
      </c>
      <c r="AC2" s="4">
        <v>239</v>
      </c>
      <c r="AD2" s="2">
        <v>23</v>
      </c>
      <c r="AE2" s="2">
        <v>970</v>
      </c>
    </row>
    <row r="3" spans="1:47" x14ac:dyDescent="0.25">
      <c r="A3" s="4" t="s">
        <v>9</v>
      </c>
      <c r="B3" s="4">
        <v>1845863</v>
      </c>
      <c r="C3" s="4">
        <v>1704479</v>
      </c>
      <c r="D3" s="4">
        <f t="shared" ref="D3:D37" si="0">SUM(B3:C3)</f>
        <v>3550342</v>
      </c>
      <c r="E3" s="4">
        <v>8878</v>
      </c>
      <c r="F3" s="4">
        <v>399.90335661184952</v>
      </c>
      <c r="G3" s="4">
        <v>6.3</v>
      </c>
      <c r="H3" s="4">
        <v>11.129098991609576</v>
      </c>
      <c r="I3" s="4">
        <v>56.435464937264257</v>
      </c>
      <c r="J3" s="4">
        <v>11.070163959664383</v>
      </c>
      <c r="K3" s="4">
        <v>0.83519359556616124</v>
      </c>
      <c r="L3" s="4">
        <v>20.530078515895621</v>
      </c>
      <c r="M3" s="4">
        <v>415712</v>
      </c>
      <c r="N3" s="9">
        <v>6</v>
      </c>
      <c r="O3" s="9">
        <v>29</v>
      </c>
      <c r="P3" s="9">
        <v>10</v>
      </c>
      <c r="Q3" s="9">
        <v>104</v>
      </c>
      <c r="R3" s="9">
        <v>0</v>
      </c>
      <c r="S3" s="9">
        <v>27</v>
      </c>
      <c r="T3" s="9">
        <v>9</v>
      </c>
      <c r="U3" s="9">
        <v>0</v>
      </c>
      <c r="V3" s="9">
        <f t="shared" ref="V3:V37" si="1">SUM(N3:U3)</f>
        <v>185</v>
      </c>
      <c r="W3" s="3">
        <v>0</v>
      </c>
      <c r="X3" s="3">
        <v>0</v>
      </c>
      <c r="Y3" s="3">
        <v>3762</v>
      </c>
      <c r="Z3" s="3">
        <v>3762</v>
      </c>
      <c r="AA3" s="4">
        <v>1313</v>
      </c>
      <c r="AB3" s="4">
        <v>325</v>
      </c>
      <c r="AC3" s="4">
        <v>232</v>
      </c>
      <c r="AD3" s="2">
        <v>18</v>
      </c>
      <c r="AE3" s="2">
        <v>1888</v>
      </c>
    </row>
    <row r="4" spans="1:47" x14ac:dyDescent="0.25">
      <c r="A4" s="4" t="s">
        <v>10</v>
      </c>
      <c r="B4" s="4">
        <v>2175464</v>
      </c>
      <c r="C4" s="4">
        <v>2109500</v>
      </c>
      <c r="D4" s="4">
        <f t="shared" si="0"/>
        <v>4284964</v>
      </c>
      <c r="E4" s="4">
        <v>24830</v>
      </c>
      <c r="F4" s="4">
        <v>172.57204993958919</v>
      </c>
      <c r="G4" s="4">
        <v>6.3</v>
      </c>
      <c r="H4" s="4">
        <v>8.8270991081286354</v>
      </c>
      <c r="I4" s="4">
        <v>65.187065907649426</v>
      </c>
      <c r="J4" s="4">
        <v>1.8201536305193839</v>
      </c>
      <c r="K4" s="4">
        <v>0.78146410981215109</v>
      </c>
      <c r="L4" s="4">
        <v>23.384217243890408</v>
      </c>
      <c r="M4" s="4">
        <v>510836</v>
      </c>
      <c r="N4" s="9">
        <v>12</v>
      </c>
      <c r="O4" s="9">
        <v>70</v>
      </c>
      <c r="P4" s="9">
        <v>13</v>
      </c>
      <c r="Q4" s="9">
        <v>78</v>
      </c>
      <c r="R4" s="9">
        <v>2</v>
      </c>
      <c r="S4" s="9">
        <v>0</v>
      </c>
      <c r="T4" s="9">
        <v>10</v>
      </c>
      <c r="U4" s="9">
        <v>0</v>
      </c>
      <c r="V4" s="9">
        <f t="shared" si="1"/>
        <v>185</v>
      </c>
      <c r="W4" s="3">
        <v>77</v>
      </c>
      <c r="X4" s="3">
        <v>47</v>
      </c>
      <c r="Y4" s="3">
        <v>3143</v>
      </c>
      <c r="Z4" s="3">
        <v>3267</v>
      </c>
      <c r="AA4" s="4">
        <v>1025</v>
      </c>
      <c r="AB4" s="4">
        <v>253</v>
      </c>
      <c r="AC4" s="4">
        <v>196</v>
      </c>
      <c r="AD4" s="2">
        <v>30</v>
      </c>
      <c r="AE4" s="2">
        <v>1504</v>
      </c>
    </row>
    <row r="5" spans="1:47" x14ac:dyDescent="0.25">
      <c r="A5" s="4" t="s">
        <v>11</v>
      </c>
      <c r="B5" s="4">
        <v>1016438</v>
      </c>
      <c r="C5" s="4">
        <v>941032</v>
      </c>
      <c r="D5" s="4">
        <f t="shared" si="0"/>
        <v>1957470</v>
      </c>
      <c r="E5" s="4">
        <v>8153</v>
      </c>
      <c r="F5" s="4">
        <v>240.09199067827794</v>
      </c>
      <c r="G5" s="4">
        <v>6.2</v>
      </c>
      <c r="H5" s="4">
        <v>3.1727013491169633</v>
      </c>
      <c r="I5" s="4">
        <v>69.592948487535239</v>
      </c>
      <c r="J5" s="4">
        <v>3.7454170760346024</v>
      </c>
      <c r="K5" s="4">
        <v>0.87425015775642412</v>
      </c>
      <c r="L5" s="4">
        <v>22.614682929556764</v>
      </c>
      <c r="M5" s="4">
        <v>250386</v>
      </c>
      <c r="N5" s="9">
        <v>5</v>
      </c>
      <c r="O5" s="9">
        <v>29</v>
      </c>
      <c r="P5" s="9">
        <v>6</v>
      </c>
      <c r="Q5" s="9">
        <v>40</v>
      </c>
      <c r="R5" s="9">
        <v>0</v>
      </c>
      <c r="S5" s="9">
        <v>13</v>
      </c>
      <c r="T5" s="9">
        <v>2</v>
      </c>
      <c r="U5" s="9">
        <v>0</v>
      </c>
      <c r="V5" s="9">
        <f t="shared" si="1"/>
        <v>95</v>
      </c>
      <c r="W5" s="3">
        <v>108</v>
      </c>
      <c r="X5" s="3">
        <v>0</v>
      </c>
      <c r="Y5" s="3">
        <v>2671</v>
      </c>
      <c r="Z5" s="3">
        <v>2779</v>
      </c>
      <c r="AA5" s="4">
        <v>735</v>
      </c>
      <c r="AB5" s="4">
        <v>196</v>
      </c>
      <c r="AC5" s="4">
        <v>134</v>
      </c>
      <c r="AD5" s="2">
        <v>12</v>
      </c>
      <c r="AE5" s="2">
        <v>1077</v>
      </c>
    </row>
    <row r="6" spans="1:47" x14ac:dyDescent="0.25">
      <c r="A6" s="4" t="s">
        <v>12</v>
      </c>
      <c r="B6" s="4">
        <v>864118</v>
      </c>
      <c r="C6" s="4">
        <v>870736</v>
      </c>
      <c r="D6" s="4">
        <f t="shared" si="0"/>
        <v>1734854</v>
      </c>
      <c r="E6" s="4">
        <v>6525</v>
      </c>
      <c r="F6" s="4">
        <v>265.87800766283527</v>
      </c>
      <c r="G6" s="4">
        <v>6</v>
      </c>
      <c r="H6" s="4">
        <v>22.637479978643889</v>
      </c>
      <c r="I6" s="4">
        <v>60.247360964556421</v>
      </c>
      <c r="J6" s="4">
        <v>7.3577695473597036</v>
      </c>
      <c r="K6" s="4">
        <v>0.60705172131113083</v>
      </c>
      <c r="L6" s="4">
        <v>9.1503377881288603</v>
      </c>
      <c r="M6" s="4">
        <v>237871</v>
      </c>
      <c r="N6" s="9">
        <v>6</v>
      </c>
      <c r="O6" s="9">
        <v>16</v>
      </c>
      <c r="P6" s="9">
        <v>11</v>
      </c>
      <c r="Q6" s="9">
        <v>68</v>
      </c>
      <c r="R6" s="9">
        <v>0</v>
      </c>
      <c r="S6" s="9">
        <v>0</v>
      </c>
      <c r="T6" s="9">
        <v>6</v>
      </c>
      <c r="U6" s="9">
        <v>0</v>
      </c>
      <c r="V6" s="9">
        <f t="shared" si="1"/>
        <v>107</v>
      </c>
      <c r="W6" s="3">
        <v>109</v>
      </c>
      <c r="X6" s="3">
        <v>68</v>
      </c>
      <c r="Y6" s="3">
        <v>2440</v>
      </c>
      <c r="Z6" s="3">
        <v>2617</v>
      </c>
      <c r="AA6" s="4">
        <v>437</v>
      </c>
      <c r="AB6" s="4">
        <v>164</v>
      </c>
      <c r="AC6" s="4">
        <v>288</v>
      </c>
      <c r="AD6" s="2">
        <v>25</v>
      </c>
      <c r="AE6" s="2">
        <v>914</v>
      </c>
    </row>
    <row r="7" spans="1:47" x14ac:dyDescent="0.25">
      <c r="A7" s="4" t="s">
        <v>13</v>
      </c>
      <c r="B7" s="4">
        <v>790898</v>
      </c>
      <c r="C7" s="4">
        <v>772126</v>
      </c>
      <c r="D7" s="4">
        <f t="shared" si="0"/>
        <v>1563024</v>
      </c>
      <c r="E7" s="4">
        <v>2643</v>
      </c>
      <c r="F7" s="4">
        <v>591.38251986379112</v>
      </c>
      <c r="G7" s="4">
        <v>6</v>
      </c>
      <c r="H7" s="4">
        <v>6.0069984447900469</v>
      </c>
      <c r="I7" s="4">
        <v>67.381091238983927</v>
      </c>
      <c r="J7" s="4">
        <v>10.970170209089337</v>
      </c>
      <c r="K7" s="4">
        <v>0.59832382927250738</v>
      </c>
      <c r="L7" s="4">
        <v>15.043416277864178</v>
      </c>
      <c r="M7" s="4">
        <v>185184</v>
      </c>
      <c r="N7" s="9">
        <v>3</v>
      </c>
      <c r="O7" s="9">
        <v>12</v>
      </c>
      <c r="P7" s="9">
        <v>4</v>
      </c>
      <c r="Q7" s="9">
        <v>39</v>
      </c>
      <c r="R7" s="9">
        <v>1</v>
      </c>
      <c r="S7" s="9">
        <v>0</v>
      </c>
      <c r="T7" s="9">
        <v>2</v>
      </c>
      <c r="U7" s="9">
        <v>0</v>
      </c>
      <c r="V7" s="9">
        <f t="shared" si="1"/>
        <v>61</v>
      </c>
      <c r="W7" s="3">
        <v>0</v>
      </c>
      <c r="X7" s="3">
        <v>0</v>
      </c>
      <c r="Y7" s="3">
        <v>1327</v>
      </c>
      <c r="Z7" s="3">
        <v>1327</v>
      </c>
      <c r="AA7" s="4">
        <v>421</v>
      </c>
      <c r="AB7" s="4">
        <v>105</v>
      </c>
      <c r="AC7" s="4">
        <v>79</v>
      </c>
      <c r="AD7" s="2">
        <v>7</v>
      </c>
      <c r="AE7" s="2">
        <v>612</v>
      </c>
    </row>
    <row r="8" spans="1:47" x14ac:dyDescent="0.25">
      <c r="A8" s="4" t="s">
        <v>14</v>
      </c>
      <c r="B8" s="4">
        <v>1713051</v>
      </c>
      <c r="C8" s="4">
        <v>1680654</v>
      </c>
      <c r="D8" s="4">
        <f t="shared" si="0"/>
        <v>3393705</v>
      </c>
      <c r="E8" s="4">
        <v>11922</v>
      </c>
      <c r="F8" s="4">
        <v>284.6590337191746</v>
      </c>
      <c r="G8" s="4">
        <v>7.4</v>
      </c>
      <c r="H8" s="4">
        <v>4.4611444082588267</v>
      </c>
      <c r="I8" s="4">
        <v>45.776330353070264</v>
      </c>
      <c r="J8" s="4">
        <v>5.7756286143531081</v>
      </c>
      <c r="K8" s="4">
        <v>2.2538571706532871</v>
      </c>
      <c r="L8" s="4">
        <v>41.73303945366451</v>
      </c>
      <c r="M8" s="4">
        <v>313507</v>
      </c>
      <c r="N8" s="9">
        <v>7</v>
      </c>
      <c r="O8" s="9">
        <v>23</v>
      </c>
      <c r="P8" s="9">
        <v>10</v>
      </c>
      <c r="Q8" s="9">
        <v>55</v>
      </c>
      <c r="R8" s="9">
        <v>0</v>
      </c>
      <c r="S8" s="9">
        <v>0</v>
      </c>
      <c r="T8" s="9">
        <v>5</v>
      </c>
      <c r="U8" s="9">
        <v>2</v>
      </c>
      <c r="V8" s="9">
        <f t="shared" si="1"/>
        <v>102</v>
      </c>
      <c r="W8" s="3">
        <v>299</v>
      </c>
      <c r="X8" s="3">
        <v>0</v>
      </c>
      <c r="Y8" s="3">
        <v>1882</v>
      </c>
      <c r="Z8" s="3">
        <v>2181</v>
      </c>
      <c r="AA8" s="4">
        <v>1063</v>
      </c>
      <c r="AB8" s="4">
        <v>169</v>
      </c>
      <c r="AC8" s="4">
        <v>146</v>
      </c>
      <c r="AD8" s="2">
        <v>17</v>
      </c>
      <c r="AE8" s="2">
        <v>1395</v>
      </c>
    </row>
    <row r="9" spans="1:47" x14ac:dyDescent="0.25">
      <c r="A9" s="4" t="s">
        <v>15</v>
      </c>
      <c r="B9" s="4">
        <v>4732186</v>
      </c>
      <c r="C9" s="4">
        <v>4343633</v>
      </c>
      <c r="D9" s="4">
        <f t="shared" si="0"/>
        <v>9075819</v>
      </c>
      <c r="E9" s="4">
        <v>5857</v>
      </c>
      <c r="F9" s="4">
        <v>1549.5678675089637</v>
      </c>
      <c r="G9" s="4">
        <v>6.5</v>
      </c>
      <c r="H9" s="4">
        <v>20.103352320142935</v>
      </c>
      <c r="I9" s="4">
        <v>63.744133713933621</v>
      </c>
      <c r="J9" s="4">
        <v>10.263944238003464</v>
      </c>
      <c r="K9" s="4">
        <v>0.44038896205994754</v>
      </c>
      <c r="L9" s="4">
        <v>5.4481807658600347</v>
      </c>
      <c r="M9" s="4">
        <v>1002977</v>
      </c>
      <c r="N9" s="9">
        <v>21</v>
      </c>
      <c r="O9" s="9">
        <v>122</v>
      </c>
      <c r="P9" s="9">
        <v>18</v>
      </c>
      <c r="Q9" s="9">
        <v>172</v>
      </c>
      <c r="R9" s="9">
        <v>0</v>
      </c>
      <c r="S9" s="9">
        <v>7</v>
      </c>
      <c r="T9" s="9">
        <v>6</v>
      </c>
      <c r="U9" s="9">
        <v>0</v>
      </c>
      <c r="V9" s="9">
        <f t="shared" si="1"/>
        <v>346</v>
      </c>
      <c r="W9" s="3">
        <v>0</v>
      </c>
      <c r="X9" s="3">
        <v>161</v>
      </c>
      <c r="Y9" s="3">
        <v>2457</v>
      </c>
      <c r="Z9" s="3">
        <v>2618</v>
      </c>
      <c r="AA9" s="4">
        <v>1029</v>
      </c>
      <c r="AB9" s="4">
        <v>430</v>
      </c>
      <c r="AC9" s="4">
        <v>536</v>
      </c>
      <c r="AD9" s="2">
        <v>68</v>
      </c>
      <c r="AE9" s="2">
        <v>2063</v>
      </c>
    </row>
    <row r="10" spans="1:47" x14ac:dyDescent="0.25">
      <c r="A10" s="4" t="s">
        <v>16</v>
      </c>
      <c r="B10" s="4">
        <v>3028827</v>
      </c>
      <c r="C10" s="4">
        <v>2930923</v>
      </c>
      <c r="D10" s="4">
        <f t="shared" si="0"/>
        <v>5959750</v>
      </c>
      <c r="E10" s="4">
        <v>3622</v>
      </c>
      <c r="F10" s="4">
        <v>1645.4307012700165</v>
      </c>
      <c r="G10" s="4">
        <v>7</v>
      </c>
      <c r="H10" s="4">
        <v>61.253810692538551</v>
      </c>
      <c r="I10" s="4">
        <v>15.247353257717393</v>
      </c>
      <c r="J10" s="4">
        <v>19.385737697922906</v>
      </c>
      <c r="K10" s="4">
        <v>0.41153108845547831</v>
      </c>
      <c r="L10" s="4">
        <v>3.7015672633656731</v>
      </c>
      <c r="M10" s="4">
        <v>632759</v>
      </c>
      <c r="N10" s="9">
        <v>12</v>
      </c>
      <c r="O10" s="9">
        <v>61</v>
      </c>
      <c r="P10" s="9">
        <v>16</v>
      </c>
      <c r="Q10" s="9">
        <v>99</v>
      </c>
      <c r="R10" s="9">
        <v>1</v>
      </c>
      <c r="S10" s="9">
        <v>32</v>
      </c>
      <c r="T10" s="9">
        <v>10</v>
      </c>
      <c r="U10" s="9">
        <v>0</v>
      </c>
      <c r="V10" s="9">
        <f t="shared" si="1"/>
        <v>231</v>
      </c>
      <c r="W10" s="3">
        <v>74</v>
      </c>
      <c r="X10" s="3">
        <v>32</v>
      </c>
      <c r="Y10" s="3">
        <v>2755</v>
      </c>
      <c r="Z10" s="3">
        <v>2861</v>
      </c>
      <c r="AA10" s="4">
        <v>733</v>
      </c>
      <c r="AB10" s="4">
        <v>264</v>
      </c>
      <c r="AC10" s="4">
        <v>318</v>
      </c>
      <c r="AD10" s="2">
        <v>21</v>
      </c>
      <c r="AE10" s="2">
        <v>1336</v>
      </c>
    </row>
    <row r="11" spans="1:47" x14ac:dyDescent="0.25">
      <c r="A11" s="4" t="s">
        <v>17</v>
      </c>
      <c r="B11" s="4">
        <v>1608411</v>
      </c>
      <c r="C11" s="4">
        <v>1610964</v>
      </c>
      <c r="D11" s="4">
        <f t="shared" si="0"/>
        <v>3219375</v>
      </c>
      <c r="E11" s="4">
        <v>3192</v>
      </c>
      <c r="F11" s="4">
        <v>1008.5761278195489</v>
      </c>
      <c r="G11" s="4">
        <v>6.5</v>
      </c>
      <c r="H11" s="4">
        <v>48.395384441065723</v>
      </c>
      <c r="I11" s="4">
        <v>31.426696776539597</v>
      </c>
      <c r="J11" s="4">
        <v>15.951557184603912</v>
      </c>
      <c r="K11" s="4">
        <v>0.63662881852126096</v>
      </c>
      <c r="L11" s="4">
        <v>3.5897327792695104</v>
      </c>
      <c r="M11" s="4">
        <v>379499</v>
      </c>
      <c r="N11" s="9">
        <v>15</v>
      </c>
      <c r="O11" s="9">
        <v>5</v>
      </c>
      <c r="P11" s="9">
        <v>10</v>
      </c>
      <c r="Q11" s="9">
        <v>89</v>
      </c>
      <c r="R11" s="9">
        <v>0</v>
      </c>
      <c r="S11" s="9">
        <v>0</v>
      </c>
      <c r="T11" s="9">
        <v>10</v>
      </c>
      <c r="U11" s="9">
        <v>1</v>
      </c>
      <c r="V11" s="9">
        <f t="shared" si="1"/>
        <v>130</v>
      </c>
      <c r="W11" s="3">
        <v>61</v>
      </c>
      <c r="X11" s="3">
        <v>0</v>
      </c>
      <c r="Y11" s="3">
        <v>3470</v>
      </c>
      <c r="Z11" s="3">
        <v>3531</v>
      </c>
      <c r="AA11" s="4">
        <v>704</v>
      </c>
      <c r="AB11" s="4">
        <v>179</v>
      </c>
      <c r="AC11" s="4">
        <v>319</v>
      </c>
      <c r="AD11" s="2">
        <v>28</v>
      </c>
      <c r="AE11" s="2">
        <v>1230</v>
      </c>
    </row>
    <row r="12" spans="1:47" x14ac:dyDescent="0.25">
      <c r="A12" s="4" t="s">
        <v>18</v>
      </c>
      <c r="B12" s="4">
        <v>670083</v>
      </c>
      <c r="C12" s="4">
        <v>649826</v>
      </c>
      <c r="D12" s="4">
        <f t="shared" si="0"/>
        <v>1319909</v>
      </c>
      <c r="E12" s="4">
        <v>2367</v>
      </c>
      <c r="F12" s="4">
        <v>557.62948880439376</v>
      </c>
      <c r="G12" s="4">
        <v>6.6</v>
      </c>
      <c r="H12" s="4">
        <v>20.854962027258548</v>
      </c>
      <c r="I12" s="4">
        <v>47.047843097143733</v>
      </c>
      <c r="J12" s="4">
        <v>24.632418748561637</v>
      </c>
      <c r="K12" s="4">
        <v>0.35543508834735471</v>
      </c>
      <c r="L12" s="4">
        <v>7.1093410386887257</v>
      </c>
      <c r="M12" s="4">
        <v>156428</v>
      </c>
      <c r="N12" s="9">
        <v>3</v>
      </c>
      <c r="O12" s="9">
        <v>16</v>
      </c>
      <c r="P12" s="9">
        <v>8</v>
      </c>
      <c r="Q12" s="9">
        <v>33</v>
      </c>
      <c r="R12" s="9">
        <v>1</v>
      </c>
      <c r="S12" s="9">
        <v>0</v>
      </c>
      <c r="T12" s="9">
        <v>4</v>
      </c>
      <c r="U12" s="9">
        <v>0</v>
      </c>
      <c r="V12" s="9">
        <f t="shared" si="1"/>
        <v>65</v>
      </c>
      <c r="W12" s="3">
        <v>0</v>
      </c>
      <c r="X12" s="3">
        <v>62</v>
      </c>
      <c r="Y12" s="3">
        <v>1689</v>
      </c>
      <c r="Z12" s="3">
        <v>1751</v>
      </c>
      <c r="AA12" s="4">
        <v>441</v>
      </c>
      <c r="AB12" s="4">
        <v>108</v>
      </c>
      <c r="AC12" s="4">
        <v>72</v>
      </c>
      <c r="AD12" s="2">
        <v>14</v>
      </c>
      <c r="AE12" s="2">
        <v>635</v>
      </c>
    </row>
    <row r="13" spans="1:47" x14ac:dyDescent="0.25">
      <c r="A13" s="4" t="s">
        <v>19</v>
      </c>
      <c r="B13" s="4">
        <v>703765</v>
      </c>
      <c r="C13" s="4">
        <v>678543</v>
      </c>
      <c r="D13" s="4">
        <f t="shared" si="0"/>
        <v>1382308</v>
      </c>
      <c r="E13" s="4">
        <v>3587</v>
      </c>
      <c r="F13" s="4">
        <v>385.36604404795094</v>
      </c>
      <c r="G13" s="4">
        <v>6</v>
      </c>
      <c r="H13" s="4">
        <v>36.00613252949551</v>
      </c>
      <c r="I13" s="4">
        <v>43.088512458141452</v>
      </c>
      <c r="J13" s="4">
        <v>15.632762923556637</v>
      </c>
      <c r="K13" s="4">
        <v>0.61901660509161327</v>
      </c>
      <c r="L13" s="4">
        <v>4.6535754837147909</v>
      </c>
      <c r="M13" s="4">
        <v>173501</v>
      </c>
      <c r="N13" s="9">
        <v>6</v>
      </c>
      <c r="O13" s="9">
        <v>26</v>
      </c>
      <c r="P13" s="9">
        <v>7</v>
      </c>
      <c r="Q13" s="9">
        <v>48</v>
      </c>
      <c r="R13" s="9">
        <v>0</v>
      </c>
      <c r="S13" s="9">
        <v>0</v>
      </c>
      <c r="T13" s="9">
        <v>6</v>
      </c>
      <c r="U13" s="9">
        <v>0</v>
      </c>
      <c r="V13" s="9">
        <f t="shared" si="1"/>
        <v>93</v>
      </c>
      <c r="W13" s="3">
        <v>0</v>
      </c>
      <c r="X13" s="3">
        <v>62</v>
      </c>
      <c r="Y13" s="3">
        <v>2158</v>
      </c>
      <c r="Z13" s="3">
        <v>2220</v>
      </c>
      <c r="AA13" s="4">
        <v>1014</v>
      </c>
      <c r="AB13" s="4">
        <v>152</v>
      </c>
      <c r="AC13" s="4">
        <v>201</v>
      </c>
      <c r="AD13" s="2">
        <v>20</v>
      </c>
      <c r="AE13" s="2">
        <v>1387</v>
      </c>
    </row>
    <row r="14" spans="1:47" x14ac:dyDescent="0.25">
      <c r="A14" s="4" t="s">
        <v>20</v>
      </c>
      <c r="B14" s="4">
        <v>1585868</v>
      </c>
      <c r="C14" s="4">
        <v>1479771</v>
      </c>
      <c r="D14" s="4">
        <f t="shared" si="0"/>
        <v>3065639</v>
      </c>
      <c r="E14" s="4">
        <v>6166</v>
      </c>
      <c r="F14" s="4">
        <v>497.1843983133312</v>
      </c>
      <c r="G14" s="4">
        <v>6.2</v>
      </c>
      <c r="H14" s="4">
        <v>4.0881918780556745</v>
      </c>
      <c r="I14" s="4">
        <v>73.544006951496556</v>
      </c>
      <c r="J14" s="4">
        <v>4.7849119023440361</v>
      </c>
      <c r="K14" s="4">
        <v>0.50277955171222477</v>
      </c>
      <c r="L14" s="4">
        <v>17.080109716391505</v>
      </c>
      <c r="M14" s="4">
        <v>382076</v>
      </c>
      <c r="N14" s="9">
        <v>8</v>
      </c>
      <c r="O14" s="9">
        <v>75</v>
      </c>
      <c r="P14" s="9">
        <v>10</v>
      </c>
      <c r="Q14" s="9">
        <v>62</v>
      </c>
      <c r="R14" s="9">
        <v>1</v>
      </c>
      <c r="S14" s="9">
        <v>0</v>
      </c>
      <c r="T14" s="9">
        <v>2</v>
      </c>
      <c r="U14" s="9">
        <v>1</v>
      </c>
      <c r="V14" s="9">
        <f t="shared" si="1"/>
        <v>159</v>
      </c>
      <c r="W14" s="3">
        <v>50</v>
      </c>
      <c r="X14" s="3">
        <v>31</v>
      </c>
      <c r="Y14" s="3">
        <v>1339</v>
      </c>
      <c r="Z14" s="3">
        <v>1420</v>
      </c>
      <c r="AA14" s="4">
        <v>329</v>
      </c>
      <c r="AB14" s="4">
        <v>111</v>
      </c>
      <c r="AC14" s="4">
        <v>185</v>
      </c>
      <c r="AD14" s="2">
        <v>11</v>
      </c>
      <c r="AE14" s="2">
        <v>636</v>
      </c>
    </row>
    <row r="15" spans="1:47" x14ac:dyDescent="0.25">
      <c r="A15" s="4" t="s">
        <v>21</v>
      </c>
      <c r="B15" s="4">
        <v>2087616</v>
      </c>
      <c r="C15" s="4">
        <v>1996670</v>
      </c>
      <c r="D15" s="4">
        <f t="shared" si="0"/>
        <v>4084286</v>
      </c>
      <c r="E15" s="4">
        <v>3995</v>
      </c>
      <c r="F15" s="4">
        <v>1022.349436795995</v>
      </c>
      <c r="G15" s="4">
        <v>6.3</v>
      </c>
      <c r="H15" s="4">
        <v>21.290065818360361</v>
      </c>
      <c r="I15" s="4">
        <v>57.22282424140176</v>
      </c>
      <c r="J15" s="4">
        <v>13.363311725531165</v>
      </c>
      <c r="K15" s="4">
        <v>0.737563617565694</v>
      </c>
      <c r="L15" s="4">
        <v>7.3862345971410219</v>
      </c>
      <c r="M15" s="4">
        <v>462333</v>
      </c>
      <c r="N15" s="9">
        <v>8</v>
      </c>
      <c r="O15" s="9">
        <v>32</v>
      </c>
      <c r="P15" s="9">
        <v>14</v>
      </c>
      <c r="Q15" s="9">
        <v>82</v>
      </c>
      <c r="R15" s="9">
        <v>1</v>
      </c>
      <c r="S15" s="9">
        <v>0</v>
      </c>
      <c r="T15" s="9">
        <v>8</v>
      </c>
      <c r="U15" s="9">
        <v>1</v>
      </c>
      <c r="V15" s="9">
        <f t="shared" si="1"/>
        <v>146</v>
      </c>
      <c r="W15" s="3">
        <v>49</v>
      </c>
      <c r="X15" s="3">
        <v>0</v>
      </c>
      <c r="Y15" s="3">
        <v>2840</v>
      </c>
      <c r="Z15" s="3">
        <v>2889</v>
      </c>
      <c r="AA15" s="4">
        <v>798</v>
      </c>
      <c r="AB15" s="4">
        <v>198</v>
      </c>
      <c r="AC15" s="4">
        <v>232</v>
      </c>
      <c r="AD15" s="2">
        <v>16</v>
      </c>
      <c r="AE15" s="2">
        <v>1244</v>
      </c>
    </row>
    <row r="16" spans="1:47" x14ac:dyDescent="0.25">
      <c r="A16" s="4" t="s">
        <v>22</v>
      </c>
      <c r="B16" s="4">
        <v>1735041</v>
      </c>
      <c r="C16" s="4">
        <v>1629036</v>
      </c>
      <c r="D16" s="4">
        <f t="shared" si="0"/>
        <v>3364077</v>
      </c>
      <c r="E16" s="4">
        <v>4349</v>
      </c>
      <c r="F16" s="4">
        <v>773.52885720855363</v>
      </c>
      <c r="G16" s="4">
        <v>6.3</v>
      </c>
      <c r="H16" s="4">
        <v>6.2478232777773774</v>
      </c>
      <c r="I16" s="4">
        <v>72.972856123765126</v>
      </c>
      <c r="J16" s="4">
        <v>3.1959686503961935</v>
      </c>
      <c r="K16" s="4">
        <v>0.90047245380545082</v>
      </c>
      <c r="L16" s="4">
        <v>16.682879494255854</v>
      </c>
      <c r="M16" s="4">
        <v>416337</v>
      </c>
      <c r="N16" s="9">
        <v>7</v>
      </c>
      <c r="O16" s="9">
        <v>9</v>
      </c>
      <c r="P16" s="9">
        <v>9</v>
      </c>
      <c r="Q16" s="9">
        <v>81</v>
      </c>
      <c r="R16" s="9">
        <v>0</v>
      </c>
      <c r="S16" s="9">
        <v>0</v>
      </c>
      <c r="T16" s="9">
        <v>4</v>
      </c>
      <c r="U16" s="9">
        <v>0</v>
      </c>
      <c r="V16" s="9">
        <f t="shared" si="1"/>
        <v>110</v>
      </c>
      <c r="W16" s="3">
        <v>121</v>
      </c>
      <c r="X16" s="3">
        <v>74</v>
      </c>
      <c r="Y16" s="3">
        <v>2638</v>
      </c>
      <c r="Z16" s="3">
        <v>2833</v>
      </c>
      <c r="AA16" s="4">
        <v>521</v>
      </c>
      <c r="AB16" s="4">
        <v>332</v>
      </c>
      <c r="AC16" s="4">
        <v>234</v>
      </c>
      <c r="AD16" s="2">
        <v>32</v>
      </c>
      <c r="AE16" s="2">
        <v>1119</v>
      </c>
    </row>
    <row r="17" spans="1:31" x14ac:dyDescent="0.25">
      <c r="A17" s="4" t="s">
        <v>23</v>
      </c>
      <c r="B17" s="4">
        <v>768175</v>
      </c>
      <c r="C17" s="4">
        <v>732914</v>
      </c>
      <c r="D17" s="4">
        <f t="shared" si="0"/>
        <v>1501089</v>
      </c>
      <c r="E17" s="4">
        <v>6511</v>
      </c>
      <c r="F17" s="4">
        <v>230.54661342343726</v>
      </c>
      <c r="G17" s="4">
        <v>6</v>
      </c>
      <c r="H17" s="4">
        <v>4.8906717004876512</v>
      </c>
      <c r="I17" s="4">
        <v>60.042997220911332</v>
      </c>
      <c r="J17" s="4">
        <v>22.73399402233758</v>
      </c>
      <c r="K17" s="4">
        <v>1.1745582297729538</v>
      </c>
      <c r="L17" s="4">
        <v>11.157778826490484</v>
      </c>
      <c r="M17" s="4">
        <v>190710</v>
      </c>
      <c r="N17" s="9">
        <v>6</v>
      </c>
      <c r="O17" s="9">
        <v>30</v>
      </c>
      <c r="P17" s="9">
        <v>5</v>
      </c>
      <c r="Q17" s="9">
        <v>44</v>
      </c>
      <c r="R17" s="9">
        <v>0</v>
      </c>
      <c r="S17" s="9">
        <v>0</v>
      </c>
      <c r="T17" s="9">
        <v>7</v>
      </c>
      <c r="U17" s="9">
        <v>0</v>
      </c>
      <c r="V17" s="9">
        <f t="shared" si="1"/>
        <v>92</v>
      </c>
      <c r="W17" s="3">
        <v>0</v>
      </c>
      <c r="X17" s="3">
        <v>0</v>
      </c>
      <c r="Y17" s="3">
        <v>2167</v>
      </c>
      <c r="Z17" s="3">
        <v>2167</v>
      </c>
      <c r="AA17" s="4">
        <v>503</v>
      </c>
      <c r="AB17" s="4">
        <v>105</v>
      </c>
      <c r="AC17" s="4">
        <v>147</v>
      </c>
      <c r="AD17" s="2">
        <v>14</v>
      </c>
      <c r="AE17" s="2">
        <v>769</v>
      </c>
    </row>
    <row r="18" spans="1:31" x14ac:dyDescent="0.25">
      <c r="A18" s="4" t="s">
        <v>24</v>
      </c>
      <c r="B18" s="4">
        <v>6885177</v>
      </c>
      <c r="C18" s="4">
        <v>6118958</v>
      </c>
      <c r="D18" s="4">
        <f t="shared" si="0"/>
        <v>13004135</v>
      </c>
      <c r="E18" s="4">
        <v>1772</v>
      </c>
      <c r="F18" s="4">
        <v>7338.6766365688491</v>
      </c>
      <c r="G18" s="4">
        <v>6.4</v>
      </c>
      <c r="H18" s="4">
        <v>77.399202840635454</v>
      </c>
      <c r="I18" s="4">
        <v>17.117176212267417</v>
      </c>
      <c r="J18" s="4">
        <v>2.567291608767027</v>
      </c>
      <c r="K18" s="4">
        <v>0.23295074977516239</v>
      </c>
      <c r="L18" s="4">
        <v>2.6833785885549459</v>
      </c>
      <c r="M18" s="4">
        <v>1158614</v>
      </c>
      <c r="N18" s="9">
        <v>50</v>
      </c>
      <c r="O18" s="9">
        <v>107</v>
      </c>
      <c r="P18" s="9">
        <v>12</v>
      </c>
      <c r="Q18" s="9">
        <v>43</v>
      </c>
      <c r="R18" s="9">
        <v>21</v>
      </c>
      <c r="S18" s="9">
        <v>0</v>
      </c>
      <c r="T18" s="9">
        <v>50</v>
      </c>
      <c r="U18" s="9">
        <v>2</v>
      </c>
      <c r="V18" s="9">
        <f t="shared" si="1"/>
        <v>285</v>
      </c>
      <c r="W18" s="3">
        <v>53</v>
      </c>
      <c r="X18" s="3">
        <v>13</v>
      </c>
      <c r="Y18" s="3">
        <v>1262</v>
      </c>
      <c r="Z18" s="3">
        <v>1328</v>
      </c>
      <c r="AA18" s="4">
        <v>473</v>
      </c>
      <c r="AB18" s="4">
        <v>185</v>
      </c>
      <c r="AC18" s="4">
        <v>382</v>
      </c>
      <c r="AD18" s="2">
        <v>4</v>
      </c>
      <c r="AE18" s="2">
        <v>1044</v>
      </c>
    </row>
    <row r="19" spans="1:31" x14ac:dyDescent="0.25">
      <c r="A19" s="4" t="s">
        <v>25</v>
      </c>
      <c r="B19" s="4">
        <v>1083011</v>
      </c>
      <c r="C19" s="4">
        <v>1019375</v>
      </c>
      <c r="D19" s="4">
        <f t="shared" si="0"/>
        <v>2102386</v>
      </c>
      <c r="E19" s="4">
        <v>6289</v>
      </c>
      <c r="F19" s="4">
        <v>334.29575449197006</v>
      </c>
      <c r="G19" s="4">
        <v>6.1</v>
      </c>
      <c r="H19" s="4">
        <v>3.249173211676883</v>
      </c>
      <c r="I19" s="4">
        <v>73.493566881167538</v>
      </c>
      <c r="J19" s="4">
        <v>2.8562818747401386</v>
      </c>
      <c r="K19" s="4">
        <v>0.75145236287901618</v>
      </c>
      <c r="L19" s="4">
        <v>19.649525669536427</v>
      </c>
      <c r="M19" s="4">
        <v>262159</v>
      </c>
      <c r="N19" s="9">
        <v>8</v>
      </c>
      <c r="O19" s="9">
        <v>34</v>
      </c>
      <c r="P19" s="9">
        <v>6</v>
      </c>
      <c r="Q19" s="9">
        <v>36</v>
      </c>
      <c r="R19" s="9">
        <v>0</v>
      </c>
      <c r="S19" s="9">
        <v>13</v>
      </c>
      <c r="T19" s="9">
        <v>2</v>
      </c>
      <c r="U19" s="9">
        <v>0</v>
      </c>
      <c r="V19" s="9">
        <f t="shared" si="1"/>
        <v>99</v>
      </c>
      <c r="W19" s="3">
        <v>58</v>
      </c>
      <c r="X19" s="3">
        <v>0</v>
      </c>
      <c r="Y19" s="3">
        <v>2668</v>
      </c>
      <c r="Z19" s="3">
        <v>2726</v>
      </c>
      <c r="AA19" s="4">
        <v>963</v>
      </c>
      <c r="AB19" s="4">
        <v>229</v>
      </c>
      <c r="AC19" s="4">
        <v>178</v>
      </c>
      <c r="AD19" s="2">
        <v>14</v>
      </c>
      <c r="AE19" s="2">
        <v>1384</v>
      </c>
    </row>
    <row r="20" spans="1:31" x14ac:dyDescent="0.25">
      <c r="A20" s="4" t="s">
        <v>26</v>
      </c>
      <c r="B20" s="4">
        <v>997963</v>
      </c>
      <c r="C20" s="4">
        <v>930336</v>
      </c>
      <c r="D20" s="4">
        <f t="shared" si="0"/>
        <v>1928299</v>
      </c>
      <c r="E20" s="4">
        <v>2778</v>
      </c>
      <c r="F20" s="4">
        <v>694.13210943124545</v>
      </c>
      <c r="G20" s="4">
        <v>5.9</v>
      </c>
      <c r="H20" s="4">
        <v>4.786549647503751</v>
      </c>
      <c r="I20" s="4">
        <v>73.509547201611412</v>
      </c>
      <c r="J20" s="4">
        <v>2.7673524756952297</v>
      </c>
      <c r="K20" s="4">
        <v>0.60715680430805907</v>
      </c>
      <c r="L20" s="4">
        <v>18.32939387088155</v>
      </c>
      <c r="M20" s="4">
        <v>243265</v>
      </c>
      <c r="N20" s="9">
        <v>5</v>
      </c>
      <c r="O20" s="9">
        <v>15</v>
      </c>
      <c r="P20" s="9">
        <v>5</v>
      </c>
      <c r="Q20" s="9">
        <v>48</v>
      </c>
      <c r="R20" s="9">
        <v>0</v>
      </c>
      <c r="S20" s="9">
        <v>0</v>
      </c>
      <c r="T20" s="9">
        <v>1</v>
      </c>
      <c r="U20" s="9">
        <v>1</v>
      </c>
      <c r="V20" s="9">
        <f t="shared" si="1"/>
        <v>75</v>
      </c>
      <c r="W20" s="3">
        <v>87</v>
      </c>
      <c r="X20" s="3">
        <v>0</v>
      </c>
      <c r="Y20" s="3">
        <v>997</v>
      </c>
      <c r="Z20" s="3">
        <v>1084</v>
      </c>
      <c r="AA20" s="4">
        <v>440</v>
      </c>
      <c r="AB20" s="4">
        <v>137</v>
      </c>
      <c r="AC20" s="4">
        <v>110</v>
      </c>
      <c r="AD20" s="2">
        <v>14</v>
      </c>
      <c r="AE20" s="2">
        <v>701</v>
      </c>
    </row>
    <row r="21" spans="1:31" x14ac:dyDescent="0.25">
      <c r="A21" s="4" t="s">
        <v>27</v>
      </c>
      <c r="B21" s="4">
        <v>917264</v>
      </c>
      <c r="C21" s="4">
        <v>912222</v>
      </c>
      <c r="D21" s="4">
        <f t="shared" si="0"/>
        <v>1829486</v>
      </c>
      <c r="E21" s="4">
        <v>2673</v>
      </c>
      <c r="F21" s="4">
        <v>684.43172465394684</v>
      </c>
      <c r="G21" s="4">
        <v>6.3</v>
      </c>
      <c r="H21" s="4">
        <v>23.921667062604495</v>
      </c>
      <c r="I21" s="4">
        <v>46.631764373663707</v>
      </c>
      <c r="J21" s="4">
        <v>25.451481181000364</v>
      </c>
      <c r="K21" s="4">
        <v>0.49203268504117004</v>
      </c>
      <c r="L21" s="4">
        <v>3.5030546976902626</v>
      </c>
      <c r="M21" s="4">
        <v>223099</v>
      </c>
      <c r="N21" s="9">
        <v>7</v>
      </c>
      <c r="O21" s="9">
        <v>6</v>
      </c>
      <c r="P21" s="9">
        <v>11</v>
      </c>
      <c r="Q21" s="9">
        <v>48</v>
      </c>
      <c r="R21" s="9">
        <v>0</v>
      </c>
      <c r="S21" s="9">
        <v>0</v>
      </c>
      <c r="T21" s="9">
        <v>3</v>
      </c>
      <c r="U21" s="9">
        <v>0</v>
      </c>
      <c r="V21" s="9">
        <f t="shared" si="1"/>
        <v>75</v>
      </c>
      <c r="W21" s="3">
        <v>0</v>
      </c>
      <c r="X21" s="3">
        <v>0</v>
      </c>
      <c r="Y21" s="3">
        <v>2134</v>
      </c>
      <c r="Z21" s="3">
        <v>2134</v>
      </c>
      <c r="AA21" s="4">
        <v>396</v>
      </c>
      <c r="AB21" s="4">
        <v>122</v>
      </c>
      <c r="AC21" s="4">
        <v>190</v>
      </c>
      <c r="AD21" s="2">
        <v>15</v>
      </c>
      <c r="AE21" s="2">
        <v>723</v>
      </c>
    </row>
    <row r="22" spans="1:31" x14ac:dyDescent="0.25">
      <c r="A22" s="4" t="s">
        <v>28</v>
      </c>
      <c r="B22" s="4">
        <v>918180</v>
      </c>
      <c r="C22" s="4">
        <v>880088</v>
      </c>
      <c r="D22" s="4">
        <f t="shared" si="0"/>
        <v>1798268</v>
      </c>
      <c r="E22" s="4">
        <v>5840</v>
      </c>
      <c r="F22" s="4">
        <v>307.92260273972602</v>
      </c>
      <c r="G22" s="4">
        <v>6</v>
      </c>
      <c r="H22" s="4">
        <v>5.017723880597015</v>
      </c>
      <c r="I22" s="4">
        <v>66.857276119402982</v>
      </c>
      <c r="J22" s="4">
        <v>15.774720149253731</v>
      </c>
      <c r="K22" s="4">
        <v>1.3395522388059702</v>
      </c>
      <c r="L22" s="4">
        <v>11.010727611940299</v>
      </c>
      <c r="M22" s="4">
        <v>214400</v>
      </c>
      <c r="N22" s="9">
        <v>6</v>
      </c>
      <c r="O22" s="9">
        <v>22</v>
      </c>
      <c r="P22" s="9">
        <v>11</v>
      </c>
      <c r="Q22" s="9">
        <v>43</v>
      </c>
      <c r="R22" s="9">
        <v>0</v>
      </c>
      <c r="S22" s="9">
        <v>0</v>
      </c>
      <c r="T22" s="9">
        <v>2</v>
      </c>
      <c r="U22" s="9">
        <v>0</v>
      </c>
      <c r="V22" s="9">
        <f t="shared" si="1"/>
        <v>84</v>
      </c>
      <c r="W22" s="3">
        <v>85</v>
      </c>
      <c r="X22" s="3">
        <v>106</v>
      </c>
      <c r="Y22" s="3">
        <v>2048</v>
      </c>
      <c r="Z22" s="3">
        <v>2239</v>
      </c>
      <c r="AA22" s="4">
        <v>764</v>
      </c>
      <c r="AB22" s="4">
        <v>153</v>
      </c>
      <c r="AC22" s="4">
        <v>154</v>
      </c>
      <c r="AD22" s="2">
        <v>14</v>
      </c>
      <c r="AE22" s="2">
        <v>1085</v>
      </c>
    </row>
    <row r="23" spans="1:31" x14ac:dyDescent="0.25">
      <c r="A23" s="4" t="s">
        <v>29</v>
      </c>
      <c r="B23" s="4">
        <v>2731020</v>
      </c>
      <c r="C23" s="4">
        <v>2631285</v>
      </c>
      <c r="D23" s="4">
        <f t="shared" si="0"/>
        <v>5362305</v>
      </c>
      <c r="E23" s="4">
        <v>3720</v>
      </c>
      <c r="F23" s="4">
        <v>1441.4798387096773</v>
      </c>
      <c r="G23" s="4">
        <v>6</v>
      </c>
      <c r="H23" s="4">
        <v>21.947788268103569</v>
      </c>
      <c r="I23" s="4">
        <v>52.659367385272077</v>
      </c>
      <c r="J23" s="4">
        <v>6.32351047972689</v>
      </c>
      <c r="K23" s="4">
        <v>1.0714712255378682</v>
      </c>
      <c r="L23" s="4">
        <v>17.997862641359596</v>
      </c>
      <c r="M23" s="4">
        <v>644721</v>
      </c>
      <c r="N23" s="9">
        <v>20</v>
      </c>
      <c r="O23" s="9">
        <v>47</v>
      </c>
      <c r="P23" s="9">
        <v>11</v>
      </c>
      <c r="Q23" s="9">
        <v>84</v>
      </c>
      <c r="R23" s="9">
        <v>0</v>
      </c>
      <c r="S23" s="9">
        <v>0</v>
      </c>
      <c r="T23" s="9">
        <v>20</v>
      </c>
      <c r="U23" s="9">
        <v>0</v>
      </c>
      <c r="V23" s="9">
        <f t="shared" si="1"/>
        <v>182</v>
      </c>
      <c r="W23" s="3">
        <v>82</v>
      </c>
      <c r="X23" s="3">
        <v>121</v>
      </c>
      <c r="Y23" s="3">
        <v>2390</v>
      </c>
      <c r="Z23" s="3">
        <v>2593</v>
      </c>
      <c r="AA23" s="4">
        <v>816</v>
      </c>
      <c r="AB23" s="4">
        <v>186</v>
      </c>
      <c r="AC23" s="4">
        <v>213</v>
      </c>
      <c r="AD23" s="2">
        <v>32</v>
      </c>
      <c r="AE23" s="2">
        <v>1247</v>
      </c>
    </row>
    <row r="24" spans="1:31" x14ac:dyDescent="0.25">
      <c r="A24" s="4" t="s">
        <v>30</v>
      </c>
      <c r="B24" s="4">
        <v>2546986</v>
      </c>
      <c r="C24" s="4">
        <v>2468339</v>
      </c>
      <c r="D24" s="4">
        <f t="shared" si="0"/>
        <v>5015325</v>
      </c>
      <c r="E24" s="4">
        <v>8249</v>
      </c>
      <c r="F24" s="4">
        <v>607.99187780337013</v>
      </c>
      <c r="G24" s="4">
        <v>6.2</v>
      </c>
      <c r="H24" s="4">
        <v>3.2634166862612428</v>
      </c>
      <c r="I24" s="4">
        <v>58.274909505049003</v>
      </c>
      <c r="J24" s="4">
        <v>5.3951466234146386</v>
      </c>
      <c r="K24" s="4">
        <v>1.5267773880189963</v>
      </c>
      <c r="L24" s="4">
        <v>31.539749797256121</v>
      </c>
      <c r="M24" s="4">
        <v>625173</v>
      </c>
      <c r="N24" s="9">
        <v>6</v>
      </c>
      <c r="O24" s="9">
        <v>43</v>
      </c>
      <c r="P24" s="9">
        <v>14</v>
      </c>
      <c r="Q24" s="9">
        <v>76</v>
      </c>
      <c r="R24" s="9">
        <v>0</v>
      </c>
      <c r="S24" s="9">
        <v>0</v>
      </c>
      <c r="T24" s="9">
        <v>5</v>
      </c>
      <c r="U24" s="9">
        <v>0</v>
      </c>
      <c r="V24" s="9">
        <f t="shared" si="1"/>
        <v>144</v>
      </c>
      <c r="W24" s="3">
        <v>120</v>
      </c>
      <c r="X24" s="3">
        <v>0</v>
      </c>
      <c r="Y24" s="3">
        <v>2213</v>
      </c>
      <c r="Z24" s="3">
        <v>2333</v>
      </c>
      <c r="AA24" s="4">
        <v>1261</v>
      </c>
      <c r="AB24" s="4">
        <v>210</v>
      </c>
      <c r="AC24" s="4">
        <v>181</v>
      </c>
      <c r="AD24" s="2">
        <v>20</v>
      </c>
      <c r="AE24" s="2">
        <v>1672</v>
      </c>
    </row>
    <row r="25" spans="1:31" x14ac:dyDescent="0.25">
      <c r="A25" s="4" t="s">
        <v>31</v>
      </c>
      <c r="B25" s="4">
        <v>832012</v>
      </c>
      <c r="C25" s="4">
        <v>802859</v>
      </c>
      <c r="D25" s="4">
        <f t="shared" si="0"/>
        <v>1634871</v>
      </c>
      <c r="E25" s="4">
        <v>2216</v>
      </c>
      <c r="F25" s="4">
        <v>737.75767148014438</v>
      </c>
      <c r="G25" s="4">
        <v>6.6</v>
      </c>
      <c r="H25" s="4">
        <v>13.292037475724012</v>
      </c>
      <c r="I25" s="4">
        <v>54.169601126832703</v>
      </c>
      <c r="J25" s="4">
        <v>23.527434534861388</v>
      </c>
      <c r="K25" s="4">
        <v>0.55808096975905419</v>
      </c>
      <c r="L25" s="4">
        <v>8.4528458928228432</v>
      </c>
      <c r="M25" s="4">
        <v>187428</v>
      </c>
      <c r="N25" s="9">
        <v>4</v>
      </c>
      <c r="O25" s="9">
        <v>25</v>
      </c>
      <c r="P25" s="9">
        <v>9</v>
      </c>
      <c r="Q25" s="9">
        <v>49</v>
      </c>
      <c r="R25" s="9">
        <v>0</v>
      </c>
      <c r="S25" s="9">
        <v>0</v>
      </c>
      <c r="T25" s="9">
        <v>4</v>
      </c>
      <c r="U25" s="9">
        <v>0</v>
      </c>
      <c r="V25" s="9">
        <f t="shared" si="1"/>
        <v>91</v>
      </c>
      <c r="W25" s="3">
        <v>0</v>
      </c>
      <c r="X25" s="3">
        <v>41</v>
      </c>
      <c r="Y25" s="3">
        <v>1951</v>
      </c>
      <c r="Z25" s="3">
        <v>1992</v>
      </c>
      <c r="AA25" s="4">
        <v>447</v>
      </c>
      <c r="AB25" s="4">
        <v>128</v>
      </c>
      <c r="AC25" s="4">
        <v>109</v>
      </c>
      <c r="AD25" s="2">
        <v>9</v>
      </c>
      <c r="AE25" s="2">
        <v>693</v>
      </c>
    </row>
    <row r="26" spans="1:31" x14ac:dyDescent="0.25">
      <c r="A26" s="4" t="s">
        <v>32</v>
      </c>
      <c r="B26" s="4">
        <v>996530</v>
      </c>
      <c r="C26" s="4">
        <v>954424</v>
      </c>
      <c r="D26" s="4">
        <f t="shared" si="0"/>
        <v>1950954</v>
      </c>
      <c r="E26" s="4">
        <v>2337</v>
      </c>
      <c r="F26" s="4">
        <v>834.81129653401808</v>
      </c>
      <c r="G26" s="4">
        <v>6.9</v>
      </c>
      <c r="H26" s="4">
        <v>30.670166229221348</v>
      </c>
      <c r="I26" s="4">
        <v>45.667979002624669</v>
      </c>
      <c r="J26" s="4">
        <v>17.276465441819774</v>
      </c>
      <c r="K26" s="4">
        <v>0.5139982502187227</v>
      </c>
      <c r="L26" s="4">
        <v>5.8713910761154855</v>
      </c>
      <c r="M26" s="4">
        <v>228600</v>
      </c>
      <c r="N26" s="9">
        <v>3</v>
      </c>
      <c r="O26" s="9">
        <v>8</v>
      </c>
      <c r="P26" s="9">
        <v>7</v>
      </c>
      <c r="Q26" s="9">
        <v>57</v>
      </c>
      <c r="R26" s="9">
        <v>1</v>
      </c>
      <c r="S26" s="9">
        <v>0</v>
      </c>
      <c r="T26" s="9">
        <v>4</v>
      </c>
      <c r="U26" s="9">
        <v>0</v>
      </c>
      <c r="V26" s="9">
        <f t="shared" si="1"/>
        <v>80</v>
      </c>
      <c r="W26" s="3">
        <v>0</v>
      </c>
      <c r="X26" s="3">
        <v>0</v>
      </c>
      <c r="Y26" s="3">
        <v>1295</v>
      </c>
      <c r="Z26" s="3">
        <v>1295</v>
      </c>
      <c r="AA26" s="4">
        <v>689</v>
      </c>
      <c r="AB26" s="4">
        <v>142</v>
      </c>
      <c r="AC26" s="4">
        <v>183</v>
      </c>
      <c r="AD26" s="2">
        <v>21</v>
      </c>
      <c r="AE26" s="2">
        <v>1035</v>
      </c>
    </row>
    <row r="27" spans="1:31" x14ac:dyDescent="0.25">
      <c r="A27" s="4" t="s">
        <v>33</v>
      </c>
      <c r="B27" s="4">
        <v>1790079</v>
      </c>
      <c r="C27" s="4">
        <v>1725411</v>
      </c>
      <c r="D27" s="4">
        <f t="shared" si="0"/>
        <v>3515490</v>
      </c>
      <c r="E27" s="4">
        <v>4377</v>
      </c>
      <c r="F27" s="4">
        <v>803.17340644276908</v>
      </c>
      <c r="G27" s="4">
        <v>6.3</v>
      </c>
      <c r="H27" s="4">
        <v>11.729657927396834</v>
      </c>
      <c r="I27" s="4">
        <v>68.385190428172507</v>
      </c>
      <c r="J27" s="4">
        <v>7.7395380856345017</v>
      </c>
      <c r="K27" s="4">
        <v>0.72889194849519079</v>
      </c>
      <c r="L27" s="4">
        <v>11.416721610300963</v>
      </c>
      <c r="M27" s="4">
        <v>412544</v>
      </c>
      <c r="N27" s="9">
        <v>8</v>
      </c>
      <c r="O27" s="9">
        <v>29</v>
      </c>
      <c r="P27" s="9">
        <v>11</v>
      </c>
      <c r="Q27" s="9">
        <v>96</v>
      </c>
      <c r="R27" s="9">
        <v>1</v>
      </c>
      <c r="S27" s="9">
        <v>0</v>
      </c>
      <c r="T27" s="9">
        <v>11</v>
      </c>
      <c r="U27" s="9">
        <v>1</v>
      </c>
      <c r="V27" s="9">
        <f t="shared" si="1"/>
        <v>157</v>
      </c>
      <c r="W27" s="3">
        <v>50</v>
      </c>
      <c r="X27" s="3">
        <v>0</v>
      </c>
      <c r="Y27" s="3">
        <v>2536</v>
      </c>
      <c r="Z27" s="3">
        <v>2586</v>
      </c>
      <c r="AA27" s="4">
        <v>756</v>
      </c>
      <c r="AB27" s="4">
        <v>235</v>
      </c>
      <c r="AC27" s="4">
        <v>250</v>
      </c>
      <c r="AD27" s="2">
        <v>15</v>
      </c>
      <c r="AE27" s="2">
        <v>1256</v>
      </c>
    </row>
    <row r="28" spans="1:31" x14ac:dyDescent="0.25">
      <c r="A28" s="4" t="s">
        <v>34</v>
      </c>
      <c r="B28" s="4">
        <v>1085476</v>
      </c>
      <c r="C28" s="4">
        <v>1050694</v>
      </c>
      <c r="D28" s="4">
        <f t="shared" si="0"/>
        <v>2136170</v>
      </c>
      <c r="E28" s="4">
        <v>2724</v>
      </c>
      <c r="F28" s="4">
        <v>784.20337738619685</v>
      </c>
      <c r="G28" s="4">
        <v>6.1</v>
      </c>
      <c r="H28" s="4">
        <v>6.4677307425399029</v>
      </c>
      <c r="I28" s="4">
        <v>72.8305960367029</v>
      </c>
      <c r="J28" s="4">
        <v>3.8931297709923665</v>
      </c>
      <c r="K28" s="4">
        <v>0.40365486930372424</v>
      </c>
      <c r="L28" s="4">
        <v>16.404888580461101</v>
      </c>
      <c r="M28" s="4">
        <v>259380</v>
      </c>
      <c r="N28" s="9">
        <v>4</v>
      </c>
      <c r="O28" s="9">
        <v>12</v>
      </c>
      <c r="P28" s="9">
        <v>6</v>
      </c>
      <c r="Q28" s="9">
        <v>55</v>
      </c>
      <c r="R28" s="9">
        <v>1</v>
      </c>
      <c r="S28" s="9">
        <v>8</v>
      </c>
      <c r="T28" s="9">
        <v>2</v>
      </c>
      <c r="U28" s="9">
        <v>0</v>
      </c>
      <c r="V28" s="9">
        <f t="shared" si="1"/>
        <v>88</v>
      </c>
      <c r="W28" s="3">
        <v>0</v>
      </c>
      <c r="X28" s="3">
        <v>0</v>
      </c>
      <c r="Y28" s="3">
        <v>1443</v>
      </c>
      <c r="Z28" s="3">
        <v>1443</v>
      </c>
      <c r="AA28" s="4">
        <v>508</v>
      </c>
      <c r="AB28" s="4">
        <v>136</v>
      </c>
      <c r="AC28" s="4">
        <v>121</v>
      </c>
      <c r="AD28" s="2">
        <v>11</v>
      </c>
      <c r="AE28" s="2">
        <v>776</v>
      </c>
    </row>
    <row r="29" spans="1:31" x14ac:dyDescent="0.25">
      <c r="A29" s="4" t="s">
        <v>35</v>
      </c>
      <c r="B29" s="4">
        <v>2897370</v>
      </c>
      <c r="C29" s="4">
        <v>2667333</v>
      </c>
      <c r="D29" s="4">
        <f t="shared" si="0"/>
        <v>5564703</v>
      </c>
      <c r="E29" s="4">
        <v>11880</v>
      </c>
      <c r="F29" s="4">
        <v>468.40934343434344</v>
      </c>
      <c r="G29" s="4">
        <v>6.7</v>
      </c>
      <c r="H29" s="4">
        <v>6.3180279111223063</v>
      </c>
      <c r="I29" s="4">
        <v>64.961256081237096</v>
      </c>
      <c r="J29" s="4">
        <v>1.535224753480817</v>
      </c>
      <c r="K29" s="4">
        <v>1.7163903165230421</v>
      </c>
      <c r="L29" s="4">
        <v>25.469100937636743</v>
      </c>
      <c r="M29" s="4">
        <v>619323</v>
      </c>
      <c r="N29" s="9">
        <v>6</v>
      </c>
      <c r="O29" s="9">
        <v>65</v>
      </c>
      <c r="P29" s="9">
        <v>20</v>
      </c>
      <c r="Q29" s="9">
        <v>109</v>
      </c>
      <c r="R29" s="9">
        <v>2</v>
      </c>
      <c r="S29" s="9">
        <v>0</v>
      </c>
      <c r="T29" s="9">
        <v>8</v>
      </c>
      <c r="U29" s="9">
        <v>0</v>
      </c>
      <c r="V29" s="9">
        <f t="shared" si="1"/>
        <v>210</v>
      </c>
      <c r="W29" s="3">
        <v>167</v>
      </c>
      <c r="X29" s="3">
        <v>143</v>
      </c>
      <c r="Y29" s="3">
        <v>4120</v>
      </c>
      <c r="Z29" s="3">
        <v>4430</v>
      </c>
      <c r="AA29" s="4">
        <v>1758</v>
      </c>
      <c r="AB29" s="4">
        <v>311</v>
      </c>
      <c r="AC29" s="4">
        <v>313</v>
      </c>
      <c r="AD29" s="2">
        <v>25</v>
      </c>
      <c r="AE29" s="2">
        <v>2407</v>
      </c>
    </row>
    <row r="30" spans="1:31" x14ac:dyDescent="0.25">
      <c r="A30" s="4" t="s">
        <v>36</v>
      </c>
      <c r="B30" s="4">
        <v>1209301</v>
      </c>
      <c r="C30" s="4">
        <v>1171748</v>
      </c>
      <c r="D30" s="4">
        <f t="shared" si="0"/>
        <v>2381049</v>
      </c>
      <c r="E30" s="4">
        <v>12318</v>
      </c>
      <c r="F30" s="4">
        <v>193.29834388699462</v>
      </c>
      <c r="G30" s="4">
        <v>6.7</v>
      </c>
      <c r="H30" s="4">
        <v>2.1897261903271446</v>
      </c>
      <c r="I30" s="4">
        <v>39.635421231204539</v>
      </c>
      <c r="J30" s="4">
        <v>4.1056844407163036</v>
      </c>
      <c r="K30" s="4">
        <v>5.8325925740446296</v>
      </c>
      <c r="L30" s="4">
        <v>48.236575563707383</v>
      </c>
      <c r="M30" s="4">
        <v>239619</v>
      </c>
      <c r="N30" s="9">
        <v>5</v>
      </c>
      <c r="O30" s="9">
        <v>14</v>
      </c>
      <c r="P30" s="9">
        <v>7</v>
      </c>
      <c r="Q30" s="9">
        <v>32</v>
      </c>
      <c r="R30" s="9">
        <v>0</v>
      </c>
      <c r="S30" s="9">
        <v>0</v>
      </c>
      <c r="T30" s="9">
        <v>0</v>
      </c>
      <c r="U30" s="9">
        <v>0</v>
      </c>
      <c r="V30" s="9">
        <f t="shared" si="1"/>
        <v>58</v>
      </c>
      <c r="W30" s="3">
        <v>194</v>
      </c>
      <c r="X30" s="3">
        <v>0</v>
      </c>
      <c r="Y30" s="3">
        <v>1228</v>
      </c>
      <c r="Z30" s="3">
        <v>1422</v>
      </c>
      <c r="AA30" s="4">
        <v>690</v>
      </c>
      <c r="AB30" s="4">
        <v>75</v>
      </c>
      <c r="AC30" s="4">
        <v>82</v>
      </c>
      <c r="AD30" s="2">
        <v>13</v>
      </c>
      <c r="AE30" s="2">
        <v>860</v>
      </c>
    </row>
    <row r="31" spans="1:31" x14ac:dyDescent="0.25">
      <c r="A31" s="4" t="s">
        <v>37</v>
      </c>
      <c r="B31" s="4">
        <v>3111151</v>
      </c>
      <c r="C31" s="4">
        <v>3007760</v>
      </c>
      <c r="D31" s="4">
        <f t="shared" si="0"/>
        <v>6118911</v>
      </c>
      <c r="E31" s="4">
        <v>5285</v>
      </c>
      <c r="F31" s="4">
        <v>1157.7882686849575</v>
      </c>
      <c r="G31" s="4">
        <v>6.1</v>
      </c>
      <c r="H31" s="4">
        <v>64.37258554025108</v>
      </c>
      <c r="I31" s="4">
        <v>28.75829244975964</v>
      </c>
      <c r="J31" s="4">
        <v>1.68209137585225</v>
      </c>
      <c r="K31" s="4">
        <v>0.29190786413077746</v>
      </c>
      <c r="L31" s="4">
        <v>4.8951227700062541</v>
      </c>
      <c r="M31" s="4">
        <v>586829</v>
      </c>
      <c r="N31" s="9">
        <v>15</v>
      </c>
      <c r="O31" s="9">
        <v>10</v>
      </c>
      <c r="P31" s="9">
        <v>6</v>
      </c>
      <c r="Q31" s="9">
        <v>87</v>
      </c>
      <c r="R31" s="9">
        <v>0</v>
      </c>
      <c r="S31" s="9">
        <v>0</v>
      </c>
      <c r="T31" s="9">
        <v>8</v>
      </c>
      <c r="U31" s="9">
        <v>0</v>
      </c>
      <c r="V31" s="9">
        <f t="shared" si="1"/>
        <v>126</v>
      </c>
      <c r="W31" s="3">
        <v>186</v>
      </c>
      <c r="X31" s="3">
        <v>76</v>
      </c>
      <c r="Y31" s="3">
        <v>3510</v>
      </c>
      <c r="Z31" s="3">
        <v>3772</v>
      </c>
      <c r="AA31" s="4">
        <v>783</v>
      </c>
      <c r="AB31" s="4">
        <v>248</v>
      </c>
      <c r="AC31" s="4">
        <v>461</v>
      </c>
      <c r="AD31" s="2">
        <v>60</v>
      </c>
      <c r="AE31" s="2">
        <v>1552</v>
      </c>
    </row>
    <row r="32" spans="1:31" x14ac:dyDescent="0.25">
      <c r="A32" s="4" t="s">
        <v>38</v>
      </c>
      <c r="B32" s="4">
        <v>1460901</v>
      </c>
      <c r="C32" s="4">
        <v>1420910</v>
      </c>
      <c r="D32" s="4">
        <f t="shared" si="0"/>
        <v>2881811</v>
      </c>
      <c r="E32" s="4">
        <v>3201</v>
      </c>
      <c r="F32" s="4">
        <v>900.2845985629491</v>
      </c>
      <c r="G32" s="4">
        <v>6.4</v>
      </c>
      <c r="H32" s="4">
        <v>9.3947564014748526</v>
      </c>
      <c r="I32" s="4">
        <v>77.759155894311903</v>
      </c>
      <c r="J32" s="4">
        <v>4.7259425506798607</v>
      </c>
      <c r="K32" s="4">
        <v>0.50133348878557793</v>
      </c>
      <c r="L32" s="4">
        <v>7.6188116647478026</v>
      </c>
      <c r="M32" s="4">
        <v>343085</v>
      </c>
      <c r="N32" s="9">
        <v>9</v>
      </c>
      <c r="O32" s="9">
        <v>26</v>
      </c>
      <c r="P32" s="9">
        <v>13</v>
      </c>
      <c r="Q32" s="9">
        <v>76</v>
      </c>
      <c r="R32" s="9">
        <v>0</v>
      </c>
      <c r="S32" s="9">
        <v>18</v>
      </c>
      <c r="T32" s="9">
        <v>6</v>
      </c>
      <c r="U32" s="9">
        <v>0</v>
      </c>
      <c r="V32" s="9">
        <f t="shared" si="1"/>
        <v>148</v>
      </c>
      <c r="W32" s="3">
        <v>98</v>
      </c>
      <c r="X32" s="3">
        <v>0</v>
      </c>
      <c r="Y32" s="3">
        <v>1376</v>
      </c>
      <c r="Z32" s="3">
        <v>1474</v>
      </c>
      <c r="AA32" s="4">
        <v>559</v>
      </c>
      <c r="AB32" s="4">
        <v>209</v>
      </c>
      <c r="AC32" s="4">
        <v>261</v>
      </c>
      <c r="AD32" s="2">
        <v>26</v>
      </c>
      <c r="AE32" s="2">
        <v>1055</v>
      </c>
    </row>
    <row r="33" spans="1:47" x14ac:dyDescent="0.25">
      <c r="A33" s="4" t="s">
        <v>39</v>
      </c>
      <c r="B33" s="4">
        <v>2194537</v>
      </c>
      <c r="C33" s="4">
        <v>2139911</v>
      </c>
      <c r="D33" s="4">
        <f t="shared" si="0"/>
        <v>4334448</v>
      </c>
      <c r="E33" s="4">
        <v>5856</v>
      </c>
      <c r="F33" s="4">
        <v>740.17213114754088</v>
      </c>
      <c r="G33" s="4">
        <v>6.3</v>
      </c>
      <c r="H33" s="4">
        <v>12.752284992357364</v>
      </c>
      <c r="I33" s="4">
        <v>50.924525064728449</v>
      </c>
      <c r="J33" s="4">
        <v>28.730269519917648</v>
      </c>
      <c r="K33" s="4">
        <v>0.77596156845618747</v>
      </c>
      <c r="L33" s="4">
        <v>6.8169588545403501</v>
      </c>
      <c r="M33" s="4">
        <v>512912</v>
      </c>
      <c r="N33" s="9">
        <v>17</v>
      </c>
      <c r="O33" s="9">
        <v>16</v>
      </c>
      <c r="P33" s="9">
        <v>13</v>
      </c>
      <c r="Q33" s="9">
        <v>132</v>
      </c>
      <c r="R33" s="9">
        <v>1</v>
      </c>
      <c r="S33" s="9">
        <v>0</v>
      </c>
      <c r="T33" s="9">
        <v>8</v>
      </c>
      <c r="U33" s="9">
        <v>0</v>
      </c>
      <c r="V33" s="9">
        <f t="shared" si="1"/>
        <v>187</v>
      </c>
      <c r="W33" s="3">
        <v>0</v>
      </c>
      <c r="X33" s="3">
        <v>72</v>
      </c>
      <c r="Y33" s="3">
        <v>5671</v>
      </c>
      <c r="Z33" s="3">
        <v>5743</v>
      </c>
      <c r="AA33" s="4">
        <v>942</v>
      </c>
      <c r="AB33" s="4">
        <v>290</v>
      </c>
      <c r="AC33" s="4">
        <v>390</v>
      </c>
      <c r="AD33" s="2">
        <v>43</v>
      </c>
      <c r="AE33" s="2">
        <v>1665</v>
      </c>
    </row>
    <row r="34" spans="1:47" x14ac:dyDescent="0.25">
      <c r="A34" s="4" t="s">
        <v>40</v>
      </c>
      <c r="B34" s="4">
        <v>2079984</v>
      </c>
      <c r="C34" s="4">
        <v>1969434</v>
      </c>
      <c r="D34" s="4">
        <f t="shared" si="0"/>
        <v>4049418</v>
      </c>
      <c r="E34" s="4">
        <v>3744</v>
      </c>
      <c r="F34" s="4">
        <v>1081.5753205128206</v>
      </c>
      <c r="G34" s="4">
        <v>6.8</v>
      </c>
      <c r="H34" s="4">
        <v>42.423871225319395</v>
      </c>
      <c r="I34" s="4">
        <v>34.12660605400697</v>
      </c>
      <c r="J34" s="4">
        <v>18.183571065621372</v>
      </c>
      <c r="K34" s="4">
        <v>0.59342334494773519</v>
      </c>
      <c r="L34" s="4">
        <v>4.6725283101045294</v>
      </c>
      <c r="M34" s="4">
        <v>440832</v>
      </c>
      <c r="N34" s="9">
        <v>11</v>
      </c>
      <c r="O34" s="9">
        <v>52</v>
      </c>
      <c r="P34" s="9">
        <v>9</v>
      </c>
      <c r="Q34" s="9">
        <v>84</v>
      </c>
      <c r="R34" s="9">
        <v>0</v>
      </c>
      <c r="S34" s="9">
        <v>0</v>
      </c>
      <c r="T34" s="9">
        <v>15</v>
      </c>
      <c r="U34" s="9">
        <v>0</v>
      </c>
      <c r="V34" s="9">
        <f t="shared" si="1"/>
        <v>171</v>
      </c>
      <c r="W34" s="3">
        <v>24</v>
      </c>
      <c r="X34" s="3">
        <v>119</v>
      </c>
      <c r="Y34" s="3">
        <v>1602</v>
      </c>
      <c r="Z34" s="3">
        <v>1745</v>
      </c>
      <c r="AA34" s="4">
        <v>617</v>
      </c>
      <c r="AB34" s="4">
        <v>219</v>
      </c>
      <c r="AC34" s="4">
        <v>169</v>
      </c>
      <c r="AD34" s="2">
        <v>18</v>
      </c>
      <c r="AE34" s="2">
        <v>1023</v>
      </c>
    </row>
    <row r="35" spans="1:47" x14ac:dyDescent="0.25">
      <c r="A35" s="4" t="s">
        <v>41</v>
      </c>
      <c r="B35" s="4">
        <v>2278798</v>
      </c>
      <c r="C35" s="4">
        <v>2220596</v>
      </c>
      <c r="D35" s="4">
        <f t="shared" si="0"/>
        <v>4499394</v>
      </c>
      <c r="E35" s="4">
        <v>3016</v>
      </c>
      <c r="F35" s="4">
        <v>1491.8415119363397</v>
      </c>
      <c r="G35" s="4">
        <v>6.7</v>
      </c>
      <c r="H35" s="4">
        <v>65.829193176727259</v>
      </c>
      <c r="I35" s="4">
        <v>15.68062969220539</v>
      </c>
      <c r="J35" s="4">
        <v>14.62772743070553</v>
      </c>
      <c r="K35" s="4">
        <v>0.37889213226268514</v>
      </c>
      <c r="L35" s="4">
        <v>3.4835575680991306</v>
      </c>
      <c r="M35" s="4">
        <v>497767</v>
      </c>
      <c r="N35" s="9">
        <v>11</v>
      </c>
      <c r="O35" s="9">
        <v>27</v>
      </c>
      <c r="P35" s="9">
        <v>8</v>
      </c>
      <c r="Q35" s="9">
        <v>120</v>
      </c>
      <c r="R35" s="9">
        <v>1</v>
      </c>
      <c r="S35" s="9">
        <v>11</v>
      </c>
      <c r="T35" s="9">
        <v>13</v>
      </c>
      <c r="U35" s="9">
        <v>0</v>
      </c>
      <c r="V35" s="9">
        <f t="shared" si="1"/>
        <v>191</v>
      </c>
      <c r="W35" s="3">
        <v>0</v>
      </c>
      <c r="X35" s="3">
        <v>70</v>
      </c>
      <c r="Y35" s="3">
        <v>1918</v>
      </c>
      <c r="Z35" s="3">
        <v>1988</v>
      </c>
      <c r="AA35" s="4">
        <v>901</v>
      </c>
      <c r="AB35" s="4">
        <v>247</v>
      </c>
      <c r="AC35" s="4">
        <v>308</v>
      </c>
      <c r="AD35" s="2">
        <v>35</v>
      </c>
      <c r="AE35" s="2">
        <v>1491</v>
      </c>
    </row>
    <row r="36" spans="1:47" x14ac:dyDescent="0.25">
      <c r="A36" s="4" t="s">
        <v>42</v>
      </c>
      <c r="B36" s="4">
        <v>1295882</v>
      </c>
      <c r="C36" s="4">
        <v>1228162</v>
      </c>
      <c r="D36" s="4">
        <f t="shared" si="0"/>
        <v>2524044</v>
      </c>
      <c r="E36" s="4">
        <v>3252</v>
      </c>
      <c r="F36" s="4">
        <v>776.15129151291524</v>
      </c>
      <c r="G36" s="4">
        <v>6.4</v>
      </c>
      <c r="H36" s="4">
        <v>6.4821290778045935</v>
      </c>
      <c r="I36" s="4">
        <v>73.259452626048699</v>
      </c>
      <c r="J36" s="4">
        <v>10.522911228225714</v>
      </c>
      <c r="K36" s="4">
        <v>0.48137385279679523</v>
      </c>
      <c r="L36" s="4">
        <v>9.2541332151242024</v>
      </c>
      <c r="M36" s="4">
        <v>304545</v>
      </c>
      <c r="N36" s="9">
        <v>8</v>
      </c>
      <c r="O36" s="9">
        <v>29</v>
      </c>
      <c r="P36" s="9">
        <v>9</v>
      </c>
      <c r="Q36" s="9">
        <v>75</v>
      </c>
      <c r="R36" s="9">
        <v>1</v>
      </c>
      <c r="S36" s="9">
        <v>6</v>
      </c>
      <c r="T36" s="9">
        <v>2</v>
      </c>
      <c r="U36" s="9">
        <v>0</v>
      </c>
      <c r="V36" s="9">
        <f t="shared" si="1"/>
        <v>130</v>
      </c>
      <c r="W36" s="3">
        <v>0</v>
      </c>
      <c r="X36" s="3">
        <v>101</v>
      </c>
      <c r="Y36" s="3">
        <v>2107</v>
      </c>
      <c r="Z36" s="3">
        <v>2208</v>
      </c>
      <c r="AA36" s="4">
        <v>601</v>
      </c>
      <c r="AB36" s="4">
        <v>236</v>
      </c>
      <c r="AC36" s="4">
        <v>254</v>
      </c>
      <c r="AD36" s="2">
        <v>17</v>
      </c>
      <c r="AE36" s="2">
        <v>1108</v>
      </c>
    </row>
    <row r="37" spans="1:47" x14ac:dyDescent="0.25">
      <c r="A37" s="4" t="s">
        <v>43</v>
      </c>
      <c r="B37" s="4">
        <v>1735171</v>
      </c>
      <c r="C37" s="4">
        <v>1695250</v>
      </c>
      <c r="D37" s="4">
        <f t="shared" si="0"/>
        <v>3430421</v>
      </c>
      <c r="E37" s="4">
        <v>4364</v>
      </c>
      <c r="F37" s="4">
        <v>786.07263978001833</v>
      </c>
      <c r="G37" s="4">
        <v>6.3</v>
      </c>
      <c r="H37" s="4">
        <v>6.7400227994383313</v>
      </c>
      <c r="I37" s="4">
        <v>76.159419935320045</v>
      </c>
      <c r="J37" s="4">
        <v>3.0250842747479099</v>
      </c>
      <c r="K37" s="4">
        <v>0.45623339579531386</v>
      </c>
      <c r="L37" s="4">
        <v>13.619239594698398</v>
      </c>
      <c r="M37" s="4">
        <v>408782</v>
      </c>
      <c r="N37" s="9">
        <v>4</v>
      </c>
      <c r="O37" s="9">
        <v>38</v>
      </c>
      <c r="P37" s="9">
        <v>14</v>
      </c>
      <c r="Q37" s="9">
        <v>81</v>
      </c>
      <c r="R37" s="9">
        <v>0</v>
      </c>
      <c r="S37" s="9">
        <v>0</v>
      </c>
      <c r="T37" s="9">
        <v>8</v>
      </c>
      <c r="U37" s="9">
        <v>0</v>
      </c>
      <c r="V37" s="9">
        <f t="shared" si="1"/>
        <v>145</v>
      </c>
      <c r="W37" s="3">
        <v>11</v>
      </c>
      <c r="X37" s="3">
        <v>0</v>
      </c>
      <c r="Y37" s="3">
        <v>3352</v>
      </c>
      <c r="Z37" s="3">
        <v>3363</v>
      </c>
      <c r="AA37" s="4">
        <v>781</v>
      </c>
      <c r="AB37" s="4">
        <v>248</v>
      </c>
      <c r="AC37" s="4">
        <v>212</v>
      </c>
      <c r="AD37" s="2">
        <v>27</v>
      </c>
      <c r="AE37" s="2">
        <v>1268</v>
      </c>
    </row>
    <row r="38" spans="1:47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9"/>
      <c r="O38" s="9"/>
      <c r="P38" s="9"/>
      <c r="Q38" s="9"/>
      <c r="R38" s="9"/>
      <c r="S38" s="9"/>
      <c r="T38" s="9"/>
      <c r="U38" s="9"/>
      <c r="V38" s="9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7" x14ac:dyDescent="0.25">
      <c r="A39" s="11"/>
      <c r="B39" s="11"/>
      <c r="C39" s="11"/>
      <c r="D39" s="11"/>
      <c r="E39" s="11"/>
      <c r="F39" s="11"/>
      <c r="H39" s="11"/>
      <c r="I39" s="4"/>
      <c r="J39" s="1"/>
      <c r="K39" s="1"/>
      <c r="L39" s="1"/>
      <c r="M39" s="1"/>
      <c r="N39" s="2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1"/>
      <c r="B40" s="11"/>
      <c r="C40" s="11"/>
      <c r="D40" s="11"/>
      <c r="E40" s="11"/>
      <c r="F40" s="11"/>
      <c r="H40" s="11"/>
      <c r="I40" s="4"/>
      <c r="J40" s="1"/>
      <c r="K40" s="1"/>
      <c r="L40" s="1"/>
      <c r="M40" s="1"/>
      <c r="N40" s="2"/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1"/>
      <c r="B41" s="11"/>
      <c r="C41" s="11"/>
      <c r="D41" s="11"/>
      <c r="E41" s="11"/>
      <c r="F41" s="11"/>
      <c r="H41" s="11"/>
      <c r="I41" s="4"/>
      <c r="J41" s="1"/>
      <c r="K41" s="1"/>
      <c r="L41" s="1"/>
      <c r="M41" s="1"/>
      <c r="N41" s="2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1"/>
      <c r="B42" s="11"/>
      <c r="C42" s="11"/>
      <c r="D42" s="11"/>
      <c r="E42" s="11"/>
      <c r="F42" s="11"/>
      <c r="H42" s="11"/>
      <c r="I42" s="4"/>
      <c r="J42" s="4"/>
      <c r="K42" s="4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1"/>
      <c r="B43" s="11"/>
      <c r="C43" s="11"/>
      <c r="D43" s="11"/>
      <c r="E43" s="11"/>
      <c r="F43" s="11"/>
      <c r="H43" s="11"/>
      <c r="I43" s="4"/>
      <c r="J43" s="4"/>
      <c r="K43" s="4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1"/>
      <c r="B44" s="11"/>
      <c r="C44" s="11"/>
      <c r="D44" s="11"/>
      <c r="E44" s="11"/>
      <c r="F44" s="11"/>
      <c r="H44" s="11"/>
      <c r="I44" s="4"/>
      <c r="J44" s="4"/>
      <c r="K44" s="4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1"/>
      <c r="B45" s="11"/>
      <c r="C45" s="11"/>
      <c r="D45" s="11"/>
      <c r="E45" s="11"/>
      <c r="F45" s="11"/>
      <c r="H45" s="11"/>
      <c r="I45" s="4"/>
      <c r="J45" s="4"/>
      <c r="K45" s="4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1"/>
      <c r="B46" s="11"/>
      <c r="C46" s="11"/>
      <c r="D46" s="11"/>
      <c r="E46" s="11"/>
      <c r="F46" s="11"/>
      <c r="H46" s="11"/>
      <c r="I46" s="4"/>
      <c r="J46" s="4"/>
      <c r="K46" s="4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1"/>
      <c r="B47" s="11"/>
      <c r="C47" s="11"/>
      <c r="D47" s="11"/>
      <c r="E47" s="11"/>
      <c r="F47" s="11"/>
      <c r="H47" s="11"/>
      <c r="I47" s="4"/>
      <c r="J47" s="4"/>
      <c r="K47" s="4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1"/>
      <c r="B48" s="11"/>
      <c r="C48" s="11"/>
      <c r="D48" s="11"/>
      <c r="E48" s="11"/>
      <c r="F48" s="11"/>
      <c r="H48" s="11"/>
      <c r="I48" s="4"/>
      <c r="J48" s="4"/>
      <c r="K48" s="4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1"/>
      <c r="B49" s="11"/>
      <c r="C49" s="11"/>
      <c r="D49" s="11"/>
      <c r="E49" s="11"/>
      <c r="F49" s="11"/>
      <c r="H49" s="11"/>
      <c r="I49" s="4"/>
      <c r="J49" s="4"/>
      <c r="K49" s="4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1"/>
      <c r="B50" s="11"/>
      <c r="C50" s="11"/>
      <c r="D50" s="11"/>
      <c r="E50" s="11"/>
      <c r="F50" s="11"/>
      <c r="H50" s="11"/>
      <c r="I50" s="4"/>
      <c r="J50" s="4"/>
      <c r="K50" s="4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1"/>
      <c r="B51" s="11"/>
      <c r="C51" s="11"/>
      <c r="D51" s="11"/>
      <c r="E51" s="11"/>
      <c r="F51" s="11"/>
      <c r="H51" s="11"/>
      <c r="I51" s="4"/>
      <c r="J51" s="4"/>
      <c r="K51" s="4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1"/>
      <c r="B52" s="11"/>
      <c r="C52" s="11"/>
      <c r="D52" s="11"/>
      <c r="E52" s="11"/>
      <c r="F52" s="11"/>
      <c r="H52" s="11"/>
      <c r="I52" s="4"/>
      <c r="J52" s="4"/>
      <c r="K52" s="4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1"/>
      <c r="B53" s="11"/>
      <c r="C53" s="11"/>
      <c r="D53" s="11"/>
      <c r="E53" s="11"/>
      <c r="F53" s="11"/>
      <c r="H53" s="11"/>
      <c r="I53" s="4"/>
      <c r="J53" s="4"/>
      <c r="K53" s="4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1"/>
      <c r="B54" s="11"/>
      <c r="C54" s="11"/>
      <c r="D54" s="11"/>
      <c r="E54" s="11"/>
      <c r="F54" s="11"/>
      <c r="H54" s="11"/>
      <c r="I54" s="4"/>
      <c r="J54" s="4"/>
      <c r="K54" s="4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1"/>
      <c r="B55" s="11"/>
      <c r="C55" s="11"/>
      <c r="D55" s="11"/>
      <c r="E55" s="11"/>
      <c r="F55" s="11"/>
      <c r="H55" s="11"/>
      <c r="I55" s="4"/>
      <c r="J55" s="4"/>
      <c r="K55" s="4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1"/>
      <c r="B56" s="11"/>
      <c r="C56" s="11"/>
      <c r="D56" s="11"/>
      <c r="E56" s="11"/>
      <c r="F56" s="11"/>
      <c r="H56" s="11"/>
      <c r="I56" s="4"/>
      <c r="J56" s="4"/>
      <c r="K56" s="4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1"/>
      <c r="B57" s="11"/>
      <c r="C57" s="11"/>
      <c r="D57" s="11"/>
      <c r="E57" s="11"/>
      <c r="F57" s="11"/>
      <c r="H57" s="11"/>
      <c r="I57" s="4"/>
      <c r="J57" s="4"/>
      <c r="K57" s="4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1"/>
      <c r="B58" s="11"/>
      <c r="C58" s="11"/>
      <c r="D58" s="11"/>
      <c r="E58" s="11"/>
      <c r="F58" s="11"/>
      <c r="H58" s="11"/>
      <c r="I58" s="4"/>
      <c r="J58" s="4"/>
      <c r="K58" s="4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1"/>
      <c r="B59" s="11"/>
      <c r="C59" s="11"/>
      <c r="D59" s="11"/>
      <c r="E59" s="11"/>
      <c r="F59" s="11"/>
      <c r="H59" s="11"/>
      <c r="I59" s="4"/>
      <c r="J59" s="4"/>
      <c r="K59" s="4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1"/>
      <c r="B60" s="11"/>
      <c r="C60" s="11"/>
      <c r="D60" s="11"/>
      <c r="E60" s="11"/>
      <c r="F60" s="11"/>
      <c r="H60" s="11"/>
      <c r="I60" s="4"/>
      <c r="J60" s="4"/>
      <c r="K60" s="4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1"/>
      <c r="B61" s="11"/>
      <c r="C61" s="11"/>
      <c r="D61" s="11"/>
      <c r="E61" s="11"/>
      <c r="F61" s="11"/>
      <c r="H61" s="11"/>
      <c r="I61" s="4"/>
      <c r="J61" s="4"/>
      <c r="K61" s="4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1"/>
      <c r="B62" s="11"/>
      <c r="C62" s="11"/>
      <c r="D62" s="11"/>
      <c r="E62" s="11"/>
      <c r="F62" s="11"/>
      <c r="H62" s="11"/>
      <c r="I62" s="4"/>
      <c r="J62" s="4"/>
      <c r="K62" s="4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1"/>
      <c r="B63" s="11"/>
      <c r="C63" s="11"/>
      <c r="D63" s="11"/>
      <c r="E63" s="11"/>
      <c r="F63" s="11"/>
      <c r="H63" s="11"/>
      <c r="I63" s="4"/>
      <c r="J63" s="4"/>
      <c r="K63" s="4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1"/>
      <c r="B64" s="11"/>
      <c r="C64" s="11"/>
      <c r="D64" s="11"/>
      <c r="E64" s="11"/>
      <c r="F64" s="11"/>
      <c r="H64" s="11"/>
      <c r="I64" s="4"/>
      <c r="J64" s="4"/>
      <c r="K64" s="4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1"/>
      <c r="B65" s="11"/>
      <c r="C65" s="11"/>
      <c r="D65" s="11"/>
      <c r="E65" s="11"/>
      <c r="F65" s="11"/>
      <c r="H65" s="11"/>
      <c r="I65" s="4"/>
      <c r="J65" s="4"/>
      <c r="K65" s="4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1"/>
      <c r="B66" s="11"/>
      <c r="C66" s="11"/>
      <c r="D66" s="11"/>
      <c r="E66" s="11"/>
      <c r="F66" s="11"/>
      <c r="H66" s="11"/>
      <c r="I66" s="4"/>
      <c r="J66" s="4"/>
      <c r="K66" s="4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1"/>
      <c r="B67" s="11"/>
      <c r="C67" s="11"/>
      <c r="D67" s="11"/>
      <c r="E67" s="11"/>
      <c r="F67" s="11"/>
      <c r="H67" s="11"/>
      <c r="I67" s="4"/>
      <c r="J67" s="4"/>
      <c r="K67" s="4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1"/>
      <c r="B68" s="11"/>
      <c r="C68" s="11"/>
      <c r="D68" s="11"/>
      <c r="E68" s="11"/>
      <c r="F68" s="11"/>
      <c r="H68" s="11"/>
      <c r="I68" s="4"/>
      <c r="J68" s="4"/>
      <c r="K68" s="4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1"/>
      <c r="B69" s="11"/>
      <c r="C69" s="11"/>
      <c r="D69" s="11"/>
      <c r="E69" s="11"/>
      <c r="F69" s="11"/>
      <c r="H69" s="11"/>
      <c r="I69" s="4"/>
      <c r="J69" s="4"/>
      <c r="K69" s="4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1"/>
      <c r="B70" s="11"/>
      <c r="C70" s="11"/>
      <c r="D70" s="11"/>
      <c r="E70" s="11"/>
      <c r="F70" s="11"/>
      <c r="H70" s="11"/>
      <c r="I70" s="4"/>
      <c r="J70" s="4"/>
      <c r="K70" s="4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1"/>
      <c r="B71" s="11"/>
      <c r="C71" s="11"/>
      <c r="D71" s="11"/>
      <c r="E71" s="11"/>
      <c r="F71" s="11"/>
      <c r="H71" s="11"/>
      <c r="I71" s="4"/>
      <c r="J71" s="4"/>
      <c r="K71" s="4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1"/>
      <c r="B72" s="11"/>
      <c r="C72" s="11"/>
      <c r="D72" s="11"/>
      <c r="E72" s="11"/>
      <c r="F72" s="11"/>
      <c r="H72" s="11"/>
      <c r="I72" s="4"/>
      <c r="J72" s="4"/>
      <c r="K72" s="4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1"/>
      <c r="B73" s="11"/>
      <c r="C73" s="11"/>
      <c r="D73" s="11"/>
      <c r="E73" s="11"/>
      <c r="F73" s="11"/>
      <c r="H73" s="11"/>
      <c r="I73" s="4"/>
      <c r="J73" s="4"/>
      <c r="K73" s="4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1"/>
      <c r="B74" s="11"/>
      <c r="C74" s="11"/>
      <c r="D74" s="11"/>
      <c r="E74" s="11"/>
      <c r="F74" s="11"/>
      <c r="H74" s="11"/>
      <c r="I74" s="4"/>
      <c r="J74" s="4"/>
      <c r="K74" s="4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1"/>
      <c r="B75" s="11"/>
      <c r="C75" s="11"/>
      <c r="D75" s="11"/>
      <c r="E75" s="11"/>
      <c r="F75" s="11"/>
      <c r="H75" s="11"/>
      <c r="I75" s="4"/>
      <c r="J75" s="4"/>
      <c r="K75" s="4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Punjab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Salman Akbar</cp:lastModifiedBy>
  <dcterms:created xsi:type="dcterms:W3CDTF">2015-06-05T18:17:20Z</dcterms:created>
  <dcterms:modified xsi:type="dcterms:W3CDTF">2026-03-26T04:23:18Z</dcterms:modified>
</cp:coreProperties>
</file>