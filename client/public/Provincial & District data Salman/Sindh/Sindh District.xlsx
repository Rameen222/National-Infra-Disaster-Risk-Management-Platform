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IA &amp; PD\Infra portal data\Provincial &amp; District data Salman\Sindh\"/>
    </mc:Choice>
  </mc:AlternateContent>
  <xr:revisionPtr revIDLastSave="0" documentId="13_ncr:1_{59B28D2A-60A4-4A95-853A-F4CB9AFD27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dh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31" i="6" l="1"/>
  <c r="W31" i="6"/>
  <c r="AC30" i="6"/>
  <c r="W30" i="6"/>
  <c r="AC29" i="6"/>
  <c r="W29" i="6"/>
  <c r="AC28" i="6"/>
  <c r="W28" i="6"/>
  <c r="AC27" i="6"/>
  <c r="W27" i="6"/>
  <c r="AC26" i="6"/>
  <c r="W26" i="6"/>
  <c r="AC25" i="6"/>
  <c r="W25" i="6"/>
  <c r="AC24" i="6"/>
  <c r="W24" i="6"/>
  <c r="AC23" i="6"/>
  <c r="W23" i="6"/>
  <c r="AC22" i="6"/>
  <c r="W22" i="6"/>
  <c r="AC21" i="6"/>
  <c r="W21" i="6"/>
  <c r="AC20" i="6"/>
  <c r="W20" i="6"/>
  <c r="AC19" i="6"/>
  <c r="W19" i="6"/>
  <c r="AC18" i="6"/>
  <c r="AC17" i="6"/>
  <c r="W17" i="6"/>
  <c r="AC16" i="6"/>
  <c r="AC15" i="6"/>
  <c r="W15" i="6"/>
  <c r="AC14" i="6"/>
  <c r="W14" i="6"/>
  <c r="AC13" i="6"/>
  <c r="AC12" i="6"/>
  <c r="AC11" i="6"/>
  <c r="AC10" i="6"/>
  <c r="AC9" i="6"/>
  <c r="W9" i="6"/>
  <c r="AC8" i="6"/>
  <c r="W8" i="6"/>
  <c r="AC7" i="6"/>
  <c r="W7" i="6"/>
  <c r="AC6" i="6"/>
  <c r="W6" i="6"/>
  <c r="AC5" i="6"/>
  <c r="W5" i="6"/>
  <c r="AC4" i="6"/>
  <c r="W4" i="6"/>
  <c r="AC3" i="6"/>
  <c r="W3" i="6"/>
  <c r="AC2" i="6"/>
  <c r="W2" i="6"/>
  <c r="E13" i="6"/>
  <c r="E3" i="6"/>
  <c r="E4" i="6"/>
  <c r="E5" i="6"/>
  <c r="E6" i="6"/>
  <c r="E7" i="6"/>
  <c r="E8" i="6"/>
  <c r="E9" i="6"/>
  <c r="E10" i="6"/>
  <c r="E11" i="6"/>
  <c r="E12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2" i="6"/>
</calcChain>
</file>

<file path=xl/sharedStrings.xml><?xml version="1.0" encoding="utf-8"?>
<sst xmlns="http://schemas.openxmlformats.org/spreadsheetml/2006/main" count="90" uniqueCount="58">
  <si>
    <t>Total</t>
  </si>
  <si>
    <t>Brick Masonry</t>
  </si>
  <si>
    <t>Block Masonry</t>
  </si>
  <si>
    <t>Stone Masonry</t>
  </si>
  <si>
    <t>Timber</t>
  </si>
  <si>
    <t>Adobe</t>
  </si>
  <si>
    <t>Total Str</t>
  </si>
  <si>
    <t>Badin</t>
  </si>
  <si>
    <t>Dadu</t>
  </si>
  <si>
    <t>Ghotki</t>
  </si>
  <si>
    <t>Hyderabad</t>
  </si>
  <si>
    <t>Jacobabad</t>
  </si>
  <si>
    <t>Jamshoro</t>
  </si>
  <si>
    <t>Qambar Shahdadkot</t>
  </si>
  <si>
    <t>Central Karachi</t>
  </si>
  <si>
    <t>East Karachi</t>
  </si>
  <si>
    <t>South Karachi</t>
  </si>
  <si>
    <t>West Karachi</t>
  </si>
  <si>
    <t>Kashmore</t>
  </si>
  <si>
    <t>Khairpur</t>
  </si>
  <si>
    <t>Korangi</t>
  </si>
  <si>
    <t>Larkana</t>
  </si>
  <si>
    <t>Malir</t>
  </si>
  <si>
    <t>Matiari</t>
  </si>
  <si>
    <t>Mirpur Khas</t>
  </si>
  <si>
    <t>Naushahro Feroze</t>
  </si>
  <si>
    <t>Sanghar</t>
  </si>
  <si>
    <t>Shaheed Benazir 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</si>
  <si>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</si>
  <si>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</si>
  <si>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</si>
  <si>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</si>
  <si>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</si>
  <si>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</si>
  <si>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</si>
  <si>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 Kot</t>
  </si>
  <si>
    <t>Sindh</t>
  </si>
  <si>
    <t>Population</t>
  </si>
  <si>
    <t>Male</t>
  </si>
  <si>
    <t>Female</t>
  </si>
  <si>
    <t>Area</t>
  </si>
  <si>
    <t>DENSITY /SQ.K.M</t>
  </si>
  <si>
    <t>AVR H.H SIZE</t>
  </si>
  <si>
    <t>Keamari</t>
  </si>
  <si>
    <t>Hospitals</t>
  </si>
  <si>
    <t>Dispensaries</t>
  </si>
  <si>
    <t>RHCs</t>
  </si>
  <si>
    <t>TB Clinics</t>
  </si>
  <si>
    <t>MCHC</t>
  </si>
  <si>
    <t>BHU</t>
  </si>
  <si>
    <t>Trauma centers</t>
  </si>
  <si>
    <t>Leprosy Clinic</t>
  </si>
  <si>
    <t>Primary</t>
  </si>
  <si>
    <t>Elementary</t>
  </si>
  <si>
    <t>Middle</t>
  </si>
  <si>
    <t>Secondary</t>
  </si>
  <si>
    <t xml:space="preserve">Hi. Secondary </t>
  </si>
  <si>
    <t>High Type 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</si>
</sst>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;\-0.00;\-"/>
    <numFmt numFmtId="166" formatCode="#,##0;\-#,##0;\-"/>
  </numFmts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>
      <alignment vertical="top"/>
    </xf>
  </cellStyleXfs>
  <cellXfs count="36">
    <xf numFmtId="0" fontId="0" fillId="0" borderId="0" xfId="0"/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2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left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wrapText="1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1" fontId="0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2" fontId="0" fillId="0" borderId="1" xfId="0" applyNumberFormat="1" applyFont="1" applyBorder="1" applyAlignment="1">
      <alignment horizontal="right"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66" fontId="3" fillId="0" borderId="1" xfId="0" applyNumberFormat="1" applyFont="1" applyFill="1" applyBorder="1" applyAlignment="1">
      <alignment horizontal="right" vertical="center" wrapText="1"/>
    </xf>
    <xf numFmtId="3" fontId="3" fillId="0" borderId="1" xfId="0" applyNumberFormat="1" applyFont="1" applyFill="1" applyBorder="1" applyAlignment="1">
      <alignment horizontal="right" vertical="center" wrapText="1"/>
    </xf>
    <xf numFmtId="1" fontId="0" fillId="0" borderId="1" xfId="0" applyNumberFormat="1" applyFont="1" applyFill="1" applyBorder="1" applyAlignment="1">
      <alignment horizontal="right" vertical="center" wrapText="1"/>
    </xf>
    <xf numFmtId="165" fontId="3" fillId="0" borderId="1" xfId="0" applyNumberFormat="1" applyFont="1" applyFill="1" applyBorder="1" applyAlignment="1">
      <alignment horizontal="right" vertical="center" wrapText="1"/>
    </xf>
    <xf numFmtId="164" fontId="3" fillId="0" borderId="1" xfId="0" applyNumberFormat="1" applyFont="1" applyFill="1" applyBorder="1" applyAlignment="1">
      <alignment horizontal="right" vertical="center" wrapText="1"/>
    </xf>
    <xf numFmtId="2" fontId="0" fillId="0" borderId="1" xfId="0" applyNumberFormat="1" applyFont="1" applyFill="1" applyBorder="1" applyAlignment="1">
      <alignment horizontal="right" vertical="center" wrapText="1"/>
    </xf>
    <xf numFmtId="0" fontId="0" fillId="0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right"/>
    </xf>
  </cellXfs>
  <cellStyles count="2">
    <cellStyle name="Normal" xfId="0" builtinId="0"/>
    <cellStyle name="Normal 2" xfId="1" xr:uid="{70866CB7-AFE8-4258-B366-0A8B05BC73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E5F6-2A6B-4F1C-91CF-D7F6075B5819}">
  <dimension ref="A1:AD40"/>
  <sheetViews>
    <sheetView tabSelected="1" topLeftCell="F1" zoomScale="89" zoomScaleNormal="89" workbookViewId="0">
      <selection activeCell="AB36" sqref="AB36"/>
    </sheetView>
  </sheetViews>
  <sheetFormatPr defaultRowHeight="15" x14ac:dyDescent="0.25"/>
  <cols>
    <col min="1" max="1" width="23" style="2" bestFit="1" customWidth="1"/>
    <col min="2" max="2" width="11.85546875" style="2" bestFit="1" customWidth="1"/>
    <col min="3" max="3" width="14" style="3" customWidth="1"/>
    <col min="4" max="4" width="12.85546875" style="3" customWidth="1"/>
    <col min="5" max="5" width="13.7109375" style="3" customWidth="1"/>
    <col min="6" max="6" width="14.5703125" style="3" customWidth="1"/>
    <col min="7" max="7" width="18.140625" style="3" customWidth="1"/>
    <col min="8" max="8" width="13.7109375" style="3" bestFit="1" customWidth="1"/>
    <col min="9" max="9" width="15.140625" style="3" bestFit="1" customWidth="1"/>
    <col min="10" max="10" width="15.5703125" style="3" bestFit="1" customWidth="1"/>
    <col min="11" max="11" width="16" style="3" bestFit="1" customWidth="1"/>
    <col min="12" max="12" width="11.7109375" style="3" customWidth="1"/>
    <col min="13" max="13" width="10.85546875" style="3" customWidth="1"/>
    <col min="14" max="14" width="12.85546875" style="3" customWidth="1"/>
    <col min="15" max="15" width="13" style="3" customWidth="1"/>
    <col min="16" max="16" width="12.28515625" style="3" bestFit="1" customWidth="1"/>
    <col min="17" max="17" width="9.42578125" style="3" customWidth="1"/>
    <col min="18" max="18" width="9.28515625" style="3" bestFit="1" customWidth="1"/>
    <col min="19" max="19" width="11.140625" style="3" customWidth="1"/>
    <col min="20" max="20" width="7.85546875" style="3" customWidth="1"/>
    <col min="21" max="21" width="14.85546875" style="3" bestFit="1" customWidth="1"/>
    <col min="22" max="22" width="13.28515625" style="3" bestFit="1" customWidth="1"/>
    <col min="23" max="23" width="5.42578125" style="3" bestFit="1" customWidth="1"/>
    <col min="24" max="24" width="8" style="3" bestFit="1" customWidth="1"/>
    <col min="25" max="25" width="11.28515625" style="3" bestFit="1" customWidth="1"/>
    <col min="26" max="26" width="7.42578125" style="3" bestFit="1" customWidth="1"/>
    <col min="27" max="27" width="10.140625" style="3" bestFit="1" customWidth="1"/>
    <col min="28" max="28" width="13.5703125" style="3" bestFit="1" customWidth="1"/>
    <col min="29" max="29" width="5.5703125" style="3" bestFit="1" customWidth="1"/>
    <col min="30" max="30" width="17" style="3" customWidth="1"/>
    <col min="31" max="16384" width="9.140625" style="3"/>
  </cols>
  <sheetData>
    <row r="1" spans="1:30" s="11" customFormat="1" ht="35.25" customHeight="1" x14ac:dyDescent="0.25">
      <c r="A1" s="7" t="s">
        <v>36</v>
      </c>
      <c r="B1" s="7" t="s">
        <v>37</v>
      </c>
      <c r="C1" s="7" t="s">
        <v>38</v>
      </c>
      <c r="D1" s="7" t="s">
        <v>39</v>
      </c>
      <c r="E1" s="7" t="s">
        <v>0</v>
      </c>
      <c r="F1" s="7" t="s">
        <v>40</v>
      </c>
      <c r="G1" s="7" t="s">
        <v>41</v>
      </c>
      <c r="H1" s="7" t="s">
        <v>42</v>
      </c>
      <c r="I1" s="7" t="s">
        <v>1</v>
      </c>
      <c r="J1" s="7" t="s">
        <v>2</v>
      </c>
      <c r="K1" s="7" t="s">
        <v>3</v>
      </c>
      <c r="L1" s="7" t="s">
        <v>4</v>
      </c>
      <c r="M1" s="7" t="s">
        <v>5</v>
      </c>
      <c r="N1" s="7" t="s">
        <v>6</v>
      </c>
      <c r="O1" s="8" t="s">
        <v>44</v>
      </c>
      <c r="P1" s="9" t="s">
        <v>45</v>
      </c>
      <c r="Q1" s="8" t="s">
        <v>46</v>
      </c>
      <c r="R1" s="9" t="s">
        <v>47</v>
      </c>
      <c r="S1" s="8" t="s">
        <v>48</v>
      </c>
      <c r="T1" s="9" t="s">
        <v>49</v>
      </c>
      <c r="U1" s="9" t="s">
        <v>50</v>
      </c>
      <c r="V1" s="9" t="s">
        <v>51</v>
      </c>
      <c r="W1" s="9" t="s">
        <v>0</v>
      </c>
      <c r="X1" s="8" t="s">
        <v>52</v>
      </c>
      <c r="Y1" s="9" t="s">
        <v>53</v>
      </c>
      <c r="Z1" s="8" t="s">
        <v>54</v>
      </c>
      <c r="AA1" s="9" t="s">
        <v>55</v>
      </c>
      <c r="AB1" s="8" t="s">
        <v>56</v>
      </c>
      <c r="AC1" s="9" t="s">
        <v>0</v>
      </c>
      <c r="AD1" s="12" t="s">
        <v>57</v>
      </c>
    </row>
    <row r="2" spans="1:30" x14ac:dyDescent="0.25">
      <c r="A2" s="6" t="s">
        <v>7</v>
      </c>
      <c r="B2" s="6" t="s">
        <v>37</v>
      </c>
      <c r="C2" s="16">
        <v>1012928</v>
      </c>
      <c r="D2" s="17">
        <v>934153</v>
      </c>
      <c r="E2" s="18">
        <f>SUM(C2:D2)</f>
        <v>1947081</v>
      </c>
      <c r="F2" s="16">
        <v>6858</v>
      </c>
      <c r="G2" s="19">
        <v>283.91382327209101</v>
      </c>
      <c r="H2" s="20">
        <v>4.8</v>
      </c>
      <c r="I2" s="21">
        <v>4.5059118461423333</v>
      </c>
      <c r="J2" s="21">
        <v>18.440220509366661</v>
      </c>
      <c r="K2" s="21">
        <v>4.3032377959041135</v>
      </c>
      <c r="L2" s="21">
        <v>49.732470253685548</v>
      </c>
      <c r="M2" s="21">
        <v>23.018159594901345</v>
      </c>
      <c r="N2" s="22">
        <v>320712</v>
      </c>
      <c r="O2" s="23">
        <v>5</v>
      </c>
      <c r="P2" s="23">
        <v>84</v>
      </c>
      <c r="Q2" s="23">
        <v>10</v>
      </c>
      <c r="R2" s="23">
        <v>12</v>
      </c>
      <c r="S2" s="23">
        <v>1</v>
      </c>
      <c r="T2" s="23">
        <v>39</v>
      </c>
      <c r="U2" s="23">
        <v>0</v>
      </c>
      <c r="V2" s="23">
        <v>1</v>
      </c>
      <c r="W2" s="23">
        <f>SUM(O2:V2)</f>
        <v>152</v>
      </c>
      <c r="X2" s="24">
        <v>1913</v>
      </c>
      <c r="Y2" s="24">
        <v>32</v>
      </c>
      <c r="Z2" s="24">
        <v>59</v>
      </c>
      <c r="AA2" s="24">
        <v>49</v>
      </c>
      <c r="AB2" s="24">
        <v>25</v>
      </c>
      <c r="AC2" s="23">
        <f>SUM(X2:AB2)</f>
        <v>2078</v>
      </c>
      <c r="AD2" s="25">
        <v>1623</v>
      </c>
    </row>
    <row r="3" spans="1:30" x14ac:dyDescent="0.25">
      <c r="A3" s="6" t="s">
        <v>8</v>
      </c>
      <c r="B3" s="6" t="s">
        <v>37</v>
      </c>
      <c r="C3" s="16">
        <v>883879</v>
      </c>
      <c r="D3" s="17">
        <v>858441</v>
      </c>
      <c r="E3" s="18">
        <f t="shared" ref="E3:E12" si="0">SUM(C3:D3)</f>
        <v>1742320</v>
      </c>
      <c r="F3" s="16">
        <v>7866</v>
      </c>
      <c r="G3" s="19">
        <v>221.50012712941773</v>
      </c>
      <c r="H3" s="20">
        <v>5.0999999999999996</v>
      </c>
      <c r="I3" s="21">
        <v>1.8677339432056412</v>
      </c>
      <c r="J3" s="21">
        <v>34.921916164979429</v>
      </c>
      <c r="K3" s="21">
        <v>5.3367563911404092</v>
      </c>
      <c r="L3" s="21">
        <v>10.689208025501033</v>
      </c>
      <c r="M3" s="21">
        <v>47.184385475173485</v>
      </c>
      <c r="N3" s="22">
        <v>267597</v>
      </c>
      <c r="O3" s="23">
        <v>4</v>
      </c>
      <c r="P3" s="23">
        <v>79</v>
      </c>
      <c r="Q3" s="23">
        <v>5</v>
      </c>
      <c r="R3" s="23">
        <v>14</v>
      </c>
      <c r="S3" s="23">
        <v>4</v>
      </c>
      <c r="T3" s="23">
        <v>47</v>
      </c>
      <c r="U3" s="23">
        <v>3</v>
      </c>
      <c r="V3" s="23">
        <v>1</v>
      </c>
      <c r="W3" s="23">
        <f>SUM(O3:V3)</f>
        <v>157</v>
      </c>
      <c r="X3" s="24">
        <v>1367</v>
      </c>
      <c r="Y3" s="24">
        <v>50</v>
      </c>
      <c r="Z3" s="24">
        <v>40</v>
      </c>
      <c r="AA3" s="24">
        <v>81</v>
      </c>
      <c r="AB3" s="24">
        <v>21</v>
      </c>
      <c r="AC3" s="23">
        <f t="shared" ref="AC3:AC31" si="1">SUM(X3:AB3)</f>
        <v>1559</v>
      </c>
      <c r="AD3" s="25">
        <v>1100</v>
      </c>
    </row>
    <row r="4" spans="1:30" x14ac:dyDescent="0.25">
      <c r="A4" s="6" t="s">
        <v>9</v>
      </c>
      <c r="B4" s="6" t="s">
        <v>37</v>
      </c>
      <c r="C4" s="16">
        <v>920375</v>
      </c>
      <c r="D4" s="17">
        <v>852234</v>
      </c>
      <c r="E4" s="18">
        <f t="shared" si="0"/>
        <v>1772609</v>
      </c>
      <c r="F4" s="16">
        <v>6083</v>
      </c>
      <c r="G4" s="19">
        <v>291.40374815058362</v>
      </c>
      <c r="H4" s="20">
        <v>5.3</v>
      </c>
      <c r="I4" s="21">
        <v>2.5892662726866407</v>
      </c>
      <c r="J4" s="21">
        <v>51.728787919304132</v>
      </c>
      <c r="K4" s="21">
        <v>3.6310085455719268</v>
      </c>
      <c r="L4" s="21">
        <v>11.874410271494769</v>
      </c>
      <c r="M4" s="21">
        <v>30.176526990942534</v>
      </c>
      <c r="N4" s="22">
        <v>261773</v>
      </c>
      <c r="O4" s="23">
        <v>4</v>
      </c>
      <c r="P4" s="23">
        <v>50</v>
      </c>
      <c r="Q4" s="23">
        <v>3</v>
      </c>
      <c r="R4" s="23">
        <v>8</v>
      </c>
      <c r="S4" s="23">
        <v>3</v>
      </c>
      <c r="T4" s="23">
        <v>36</v>
      </c>
      <c r="U4" s="23">
        <v>4</v>
      </c>
      <c r="V4" s="23">
        <v>0</v>
      </c>
      <c r="W4" s="23">
        <f>SUM(O4:V4)</f>
        <v>108</v>
      </c>
      <c r="X4" s="24">
        <v>1251</v>
      </c>
      <c r="Y4" s="24">
        <v>56</v>
      </c>
      <c r="Z4" s="24">
        <v>73</v>
      </c>
      <c r="AA4" s="24">
        <v>26</v>
      </c>
      <c r="AB4" s="24">
        <v>24</v>
      </c>
      <c r="AC4" s="23">
        <f t="shared" si="1"/>
        <v>1430</v>
      </c>
      <c r="AD4" s="25">
        <v>1125</v>
      </c>
    </row>
    <row r="5" spans="1:30" x14ac:dyDescent="0.25">
      <c r="A5" s="6" t="s">
        <v>10</v>
      </c>
      <c r="B5" s="6" t="s">
        <v>37</v>
      </c>
      <c r="C5" s="16">
        <v>1289450</v>
      </c>
      <c r="D5" s="17">
        <v>1143090</v>
      </c>
      <c r="E5" s="18">
        <f t="shared" si="0"/>
        <v>2432540</v>
      </c>
      <c r="F5" s="16">
        <v>993</v>
      </c>
      <c r="G5" s="19">
        <v>2449.6878147029206</v>
      </c>
      <c r="H5" s="20">
        <v>5.4</v>
      </c>
      <c r="I5" s="21">
        <v>61.404417936261666</v>
      </c>
      <c r="J5" s="21">
        <v>23.761032123508915</v>
      </c>
      <c r="K5" s="21">
        <v>3.2565429712338174</v>
      </c>
      <c r="L5" s="21">
        <v>3.519469949385762</v>
      </c>
      <c r="M5" s="21">
        <v>8.0585370196098385</v>
      </c>
      <c r="N5" s="22">
        <v>314536</v>
      </c>
      <c r="O5" s="23">
        <v>10</v>
      </c>
      <c r="P5" s="23">
        <v>29</v>
      </c>
      <c r="Q5" s="23">
        <v>3</v>
      </c>
      <c r="R5" s="23">
        <v>11</v>
      </c>
      <c r="S5" s="23">
        <v>7</v>
      </c>
      <c r="T5" s="23">
        <v>17</v>
      </c>
      <c r="U5" s="23">
        <v>1</v>
      </c>
      <c r="V5" s="23">
        <v>2</v>
      </c>
      <c r="W5" s="23">
        <f t="shared" ref="W5:W8" si="2">SUM(O5:V5)</f>
        <v>80</v>
      </c>
      <c r="X5" s="24">
        <v>674</v>
      </c>
      <c r="Y5" s="24">
        <v>9</v>
      </c>
      <c r="Z5" s="24">
        <v>67</v>
      </c>
      <c r="AA5" s="24">
        <v>74</v>
      </c>
      <c r="AB5" s="24">
        <v>17</v>
      </c>
      <c r="AC5" s="23">
        <f t="shared" si="1"/>
        <v>841</v>
      </c>
      <c r="AD5" s="25">
        <v>526</v>
      </c>
    </row>
    <row r="6" spans="1:30" x14ac:dyDescent="0.25">
      <c r="A6" s="6" t="s">
        <v>11</v>
      </c>
      <c r="B6" s="6" t="s">
        <v>37</v>
      </c>
      <c r="C6" s="16">
        <v>595896</v>
      </c>
      <c r="D6" s="17">
        <v>578201</v>
      </c>
      <c r="E6" s="18">
        <f t="shared" si="0"/>
        <v>1174097</v>
      </c>
      <c r="F6" s="16">
        <v>2698</v>
      </c>
      <c r="G6" s="19">
        <v>435.17309117865085</v>
      </c>
      <c r="H6" s="20">
        <v>6</v>
      </c>
      <c r="I6" s="21">
        <v>2.5173465135152919</v>
      </c>
      <c r="J6" s="21">
        <v>28.731968034159287</v>
      </c>
      <c r="K6" s="21">
        <v>9.7177033142990847</v>
      </c>
      <c r="L6" s="21">
        <v>22.333681847760126</v>
      </c>
      <c r="M6" s="21">
        <v>36.699300290266208</v>
      </c>
      <c r="N6" s="22">
        <v>136771</v>
      </c>
      <c r="O6" s="23">
        <v>3</v>
      </c>
      <c r="P6" s="23">
        <v>10</v>
      </c>
      <c r="Q6" s="23">
        <v>3</v>
      </c>
      <c r="R6" s="23">
        <v>9</v>
      </c>
      <c r="S6" s="23">
        <v>15</v>
      </c>
      <c r="T6" s="23">
        <v>20</v>
      </c>
      <c r="U6" s="23">
        <v>0</v>
      </c>
      <c r="V6" s="23">
        <v>1</v>
      </c>
      <c r="W6" s="23">
        <f t="shared" si="2"/>
        <v>61</v>
      </c>
      <c r="X6" s="24">
        <v>927</v>
      </c>
      <c r="Y6" s="24">
        <v>6</v>
      </c>
      <c r="Z6" s="24">
        <v>50</v>
      </c>
      <c r="AA6" s="24">
        <v>39</v>
      </c>
      <c r="AB6" s="24">
        <v>14</v>
      </c>
      <c r="AC6" s="23">
        <f t="shared" si="1"/>
        <v>1036</v>
      </c>
      <c r="AD6" s="25">
        <v>697</v>
      </c>
    </row>
    <row r="7" spans="1:30" x14ac:dyDescent="0.25">
      <c r="A7" s="6" t="s">
        <v>12</v>
      </c>
      <c r="B7" s="6" t="s">
        <v>37</v>
      </c>
      <c r="C7" s="16">
        <v>578103</v>
      </c>
      <c r="D7" s="17">
        <v>539205</v>
      </c>
      <c r="E7" s="18">
        <f t="shared" si="0"/>
        <v>1117308</v>
      </c>
      <c r="F7" s="16">
        <v>11204</v>
      </c>
      <c r="G7" s="19">
        <v>99.724027133166729</v>
      </c>
      <c r="H7" s="20">
        <v>5.2</v>
      </c>
      <c r="I7" s="21">
        <v>12.056072331222804</v>
      </c>
      <c r="J7" s="21">
        <v>45.115167148701111</v>
      </c>
      <c r="K7" s="21">
        <v>3.1501602438833736</v>
      </c>
      <c r="L7" s="21">
        <v>12.988222725969932</v>
      </c>
      <c r="M7" s="21">
        <v>26.690377550222777</v>
      </c>
      <c r="N7" s="22">
        <v>153516</v>
      </c>
      <c r="O7" s="23">
        <v>4</v>
      </c>
      <c r="P7" s="23">
        <v>24</v>
      </c>
      <c r="Q7" s="23">
        <v>5</v>
      </c>
      <c r="R7" s="23">
        <v>11</v>
      </c>
      <c r="S7" s="23">
        <v>2</v>
      </c>
      <c r="T7" s="23">
        <v>17</v>
      </c>
      <c r="U7" s="23">
        <v>0</v>
      </c>
      <c r="V7" s="23">
        <v>2</v>
      </c>
      <c r="W7" s="23">
        <f t="shared" si="2"/>
        <v>65</v>
      </c>
      <c r="X7" s="24">
        <v>628</v>
      </c>
      <c r="Y7" s="24">
        <v>70</v>
      </c>
      <c r="Z7" s="24">
        <v>16</v>
      </c>
      <c r="AA7" s="24">
        <v>46</v>
      </c>
      <c r="AB7" s="24">
        <v>9</v>
      </c>
      <c r="AC7" s="23">
        <f t="shared" si="1"/>
        <v>769</v>
      </c>
      <c r="AD7" s="25">
        <v>642</v>
      </c>
    </row>
    <row r="8" spans="1:30" x14ac:dyDescent="0.25">
      <c r="A8" s="6" t="s">
        <v>13</v>
      </c>
      <c r="B8" s="6" t="s">
        <v>37</v>
      </c>
      <c r="C8" s="16">
        <v>791159</v>
      </c>
      <c r="D8" s="17">
        <v>723710</v>
      </c>
      <c r="E8" s="18">
        <f t="shared" si="0"/>
        <v>1514869</v>
      </c>
      <c r="F8" s="16">
        <v>5475</v>
      </c>
      <c r="G8" s="19">
        <v>276.68840182648398</v>
      </c>
      <c r="H8" s="20">
        <v>5.6</v>
      </c>
      <c r="I8" s="21">
        <v>1.9053663070473068</v>
      </c>
      <c r="J8" s="21">
        <v>33.956795706554601</v>
      </c>
      <c r="K8" s="21">
        <v>11.534137188372918</v>
      </c>
      <c r="L8" s="21">
        <v>11.477670785882401</v>
      </c>
      <c r="M8" s="21">
        <v>41.126030012142778</v>
      </c>
      <c r="N8" s="22">
        <v>200119</v>
      </c>
      <c r="O8" s="23">
        <v>4</v>
      </c>
      <c r="P8" s="23">
        <v>34</v>
      </c>
      <c r="Q8" s="23">
        <v>4</v>
      </c>
      <c r="R8" s="23">
        <v>7</v>
      </c>
      <c r="S8" s="23">
        <v>2</v>
      </c>
      <c r="T8" s="23">
        <v>28</v>
      </c>
      <c r="U8" s="23">
        <v>2</v>
      </c>
      <c r="V8" s="23">
        <v>0</v>
      </c>
      <c r="W8" s="23">
        <f t="shared" si="2"/>
        <v>81</v>
      </c>
      <c r="X8" s="24">
        <v>1189</v>
      </c>
      <c r="Y8" s="24">
        <v>16</v>
      </c>
      <c r="Z8" s="24">
        <v>54</v>
      </c>
      <c r="AA8" s="24">
        <v>47</v>
      </c>
      <c r="AB8" s="24">
        <v>15</v>
      </c>
      <c r="AC8" s="23">
        <f t="shared" si="1"/>
        <v>1321</v>
      </c>
      <c r="AD8" s="25">
        <v>737</v>
      </c>
    </row>
    <row r="9" spans="1:30" x14ac:dyDescent="0.25">
      <c r="A9" s="6" t="s">
        <v>14</v>
      </c>
      <c r="B9" s="6" t="s">
        <v>37</v>
      </c>
      <c r="C9" s="16">
        <v>2019678</v>
      </c>
      <c r="D9" s="17">
        <v>1802647</v>
      </c>
      <c r="E9" s="18">
        <f t="shared" si="0"/>
        <v>3822325</v>
      </c>
      <c r="F9" s="16">
        <v>69</v>
      </c>
      <c r="G9" s="19">
        <v>55396.014492753624</v>
      </c>
      <c r="H9" s="20">
        <v>5.8</v>
      </c>
      <c r="I9" s="21">
        <v>79.160766862203047</v>
      </c>
      <c r="J9" s="21">
        <v>18.334505267281209</v>
      </c>
      <c r="K9" s="21">
        <v>8.9580704508895465E-2</v>
      </c>
      <c r="L9" s="21">
        <v>0.18140895357536177</v>
      </c>
      <c r="M9" s="21">
        <v>2.23373821243149</v>
      </c>
      <c r="N9" s="22">
        <v>311451</v>
      </c>
      <c r="O9" s="26">
        <v>14</v>
      </c>
      <c r="P9" s="26">
        <v>57</v>
      </c>
      <c r="Q9" s="26">
        <v>5</v>
      </c>
      <c r="R9" s="26">
        <v>33</v>
      </c>
      <c r="S9" s="26">
        <v>21</v>
      </c>
      <c r="T9" s="26">
        <v>33</v>
      </c>
      <c r="U9" s="26">
        <v>3</v>
      </c>
      <c r="V9" s="26">
        <v>1</v>
      </c>
      <c r="W9" s="26">
        <f>SUM(O9:V9)</f>
        <v>167</v>
      </c>
      <c r="X9" s="27">
        <v>195</v>
      </c>
      <c r="Y9" s="27">
        <v>11</v>
      </c>
      <c r="Z9" s="27">
        <v>15</v>
      </c>
      <c r="AA9" s="27">
        <v>88</v>
      </c>
      <c r="AB9" s="27">
        <v>13</v>
      </c>
      <c r="AC9" s="23">
        <f t="shared" si="1"/>
        <v>322</v>
      </c>
      <c r="AD9" s="13">
        <v>367</v>
      </c>
    </row>
    <row r="10" spans="1:30" x14ac:dyDescent="0.25">
      <c r="A10" s="6" t="s">
        <v>15</v>
      </c>
      <c r="B10" s="6" t="s">
        <v>37</v>
      </c>
      <c r="C10" s="16">
        <v>2085145</v>
      </c>
      <c r="D10" s="17">
        <v>1836597</v>
      </c>
      <c r="E10" s="18">
        <f t="shared" si="0"/>
        <v>3921742</v>
      </c>
      <c r="F10" s="16">
        <v>139</v>
      </c>
      <c r="G10" s="19">
        <v>28213.971223021581</v>
      </c>
      <c r="H10" s="20">
        <v>5.9</v>
      </c>
      <c r="I10" s="21">
        <v>75.147057816491014</v>
      </c>
      <c r="J10" s="21">
        <v>20.596996528134436</v>
      </c>
      <c r="K10" s="21">
        <v>0.33040929665618946</v>
      </c>
      <c r="L10" s="21">
        <v>0.44887729317747599</v>
      </c>
      <c r="M10" s="21">
        <v>3.4766590655408782</v>
      </c>
      <c r="N10" s="22">
        <v>292062</v>
      </c>
      <c r="O10" s="26"/>
      <c r="P10" s="26"/>
      <c r="Q10" s="26"/>
      <c r="R10" s="26"/>
      <c r="S10" s="26"/>
      <c r="T10" s="26"/>
      <c r="U10" s="26"/>
      <c r="V10" s="26"/>
      <c r="W10" s="26"/>
      <c r="X10" s="27">
        <v>91</v>
      </c>
      <c r="Y10" s="27">
        <v>2</v>
      </c>
      <c r="Z10" s="27">
        <v>16</v>
      </c>
      <c r="AA10" s="27">
        <v>55</v>
      </c>
      <c r="AB10" s="27">
        <v>12</v>
      </c>
      <c r="AC10" s="23">
        <f t="shared" si="1"/>
        <v>176</v>
      </c>
      <c r="AD10" s="14"/>
    </row>
    <row r="11" spans="1:30" x14ac:dyDescent="0.25">
      <c r="A11" s="6" t="s">
        <v>16</v>
      </c>
      <c r="B11" s="6" t="s">
        <v>37</v>
      </c>
      <c r="C11" s="16">
        <v>1241244</v>
      </c>
      <c r="D11" s="17">
        <v>1088520</v>
      </c>
      <c r="E11" s="18">
        <f t="shared" si="0"/>
        <v>2329764</v>
      </c>
      <c r="F11" s="16">
        <v>122</v>
      </c>
      <c r="G11" s="19">
        <v>19096.426229508197</v>
      </c>
      <c r="H11" s="20">
        <v>5.4</v>
      </c>
      <c r="I11" s="21">
        <v>82.694211976664576</v>
      </c>
      <c r="J11" s="21">
        <v>13.688344169255405</v>
      </c>
      <c r="K11" s="21">
        <v>0.26142015651258721</v>
      </c>
      <c r="L11" s="21">
        <v>0.11769565488012584</v>
      </c>
      <c r="M11" s="21">
        <v>3.2383280426873089</v>
      </c>
      <c r="N11" s="22">
        <v>176727</v>
      </c>
      <c r="O11" s="26"/>
      <c r="P11" s="26"/>
      <c r="Q11" s="26"/>
      <c r="R11" s="26"/>
      <c r="S11" s="26"/>
      <c r="T11" s="26"/>
      <c r="U11" s="26"/>
      <c r="V11" s="26"/>
      <c r="W11" s="26"/>
      <c r="X11" s="27">
        <v>60</v>
      </c>
      <c r="Y11" s="27">
        <v>6</v>
      </c>
      <c r="Z11" s="27">
        <v>14</v>
      </c>
      <c r="AA11" s="27">
        <v>49</v>
      </c>
      <c r="AB11" s="27">
        <v>9</v>
      </c>
      <c r="AC11" s="23">
        <f t="shared" si="1"/>
        <v>138</v>
      </c>
      <c r="AD11" s="14"/>
    </row>
    <row r="12" spans="1:30" x14ac:dyDescent="0.25">
      <c r="A12" s="6" t="s">
        <v>17</v>
      </c>
      <c r="B12" s="6" t="s">
        <v>37</v>
      </c>
      <c r="C12" s="16">
        <v>1415628</v>
      </c>
      <c r="D12" s="17">
        <v>1263752</v>
      </c>
      <c r="E12" s="18">
        <f t="shared" si="0"/>
        <v>2679380</v>
      </c>
      <c r="F12" s="16">
        <v>370</v>
      </c>
      <c r="G12" s="19">
        <v>7241.5675675675684</v>
      </c>
      <c r="H12" s="20">
        <v>5.7</v>
      </c>
      <c r="I12" s="21">
        <v>41.549967025266888</v>
      </c>
      <c r="J12" s="21">
        <v>52.261087754008493</v>
      </c>
      <c r="K12" s="21">
        <v>0.35422076583817652</v>
      </c>
      <c r="L12" s="21">
        <v>0.67675487407773793</v>
      </c>
      <c r="M12" s="21">
        <v>5.1579695808087056</v>
      </c>
      <c r="N12" s="22">
        <v>388176</v>
      </c>
      <c r="O12" s="26"/>
      <c r="P12" s="26"/>
      <c r="Q12" s="26"/>
      <c r="R12" s="26"/>
      <c r="S12" s="26"/>
      <c r="T12" s="26"/>
      <c r="U12" s="26"/>
      <c r="V12" s="26"/>
      <c r="W12" s="26"/>
      <c r="X12" s="27">
        <v>134</v>
      </c>
      <c r="Y12" s="27">
        <v>6</v>
      </c>
      <c r="Z12" s="27">
        <v>8</v>
      </c>
      <c r="AA12" s="27">
        <v>27</v>
      </c>
      <c r="AB12" s="27">
        <v>3</v>
      </c>
      <c r="AC12" s="23">
        <f t="shared" si="1"/>
        <v>178</v>
      </c>
      <c r="AD12" s="15"/>
    </row>
    <row r="13" spans="1:30" x14ac:dyDescent="0.25">
      <c r="A13" s="10" t="s">
        <v>43</v>
      </c>
      <c r="B13" s="10" t="s">
        <v>37</v>
      </c>
      <c r="C13" s="28">
        <v>1100838</v>
      </c>
      <c r="D13" s="29">
        <v>967613</v>
      </c>
      <c r="E13" s="30">
        <f t="shared" ref="E13:E31" si="3">SUM(C13:D13)</f>
        <v>2068451</v>
      </c>
      <c r="F13" s="28">
        <v>559</v>
      </c>
      <c r="G13" s="31">
        <v>3700.2701252236134</v>
      </c>
      <c r="H13" s="32">
        <v>6.4</v>
      </c>
      <c r="I13" s="33">
        <v>41.549967025266888</v>
      </c>
      <c r="J13" s="33">
        <v>52.261087754008493</v>
      </c>
      <c r="K13" s="33">
        <v>0.35422076583817652</v>
      </c>
      <c r="L13" s="33">
        <v>0.67675487407773793</v>
      </c>
      <c r="M13" s="33">
        <v>5.1579695808087056</v>
      </c>
      <c r="N13" s="34">
        <v>270469</v>
      </c>
      <c r="O13" s="35"/>
      <c r="P13" s="35"/>
      <c r="Q13" s="35"/>
      <c r="R13" s="35"/>
      <c r="S13" s="35"/>
      <c r="T13" s="35"/>
      <c r="U13" s="35"/>
      <c r="V13" s="35"/>
      <c r="W13" s="35"/>
      <c r="X13" s="24">
        <v>144</v>
      </c>
      <c r="Y13" s="24">
        <v>7</v>
      </c>
      <c r="Z13" s="24">
        <v>10</v>
      </c>
      <c r="AA13" s="24">
        <v>31</v>
      </c>
      <c r="AB13" s="24">
        <v>12</v>
      </c>
      <c r="AC13" s="23">
        <f t="shared" si="1"/>
        <v>204</v>
      </c>
      <c r="AD13" s="25"/>
    </row>
    <row r="14" spans="1:30" x14ac:dyDescent="0.25">
      <c r="A14" s="10" t="s">
        <v>18</v>
      </c>
      <c r="B14" s="10" t="s">
        <v>37</v>
      </c>
      <c r="C14" s="28">
        <v>628311</v>
      </c>
      <c r="D14" s="29">
        <v>605646</v>
      </c>
      <c r="E14" s="30">
        <f t="shared" si="3"/>
        <v>1233957</v>
      </c>
      <c r="F14" s="28">
        <v>2580</v>
      </c>
      <c r="G14" s="31">
        <v>478.27790697674419</v>
      </c>
      <c r="H14" s="32">
        <v>5.9</v>
      </c>
      <c r="I14" s="33">
        <v>1.917517257655319</v>
      </c>
      <c r="J14" s="33">
        <v>34.241285949351322</v>
      </c>
      <c r="K14" s="33">
        <v>5.6273395349447037</v>
      </c>
      <c r="L14" s="33">
        <v>25.547885486524933</v>
      </c>
      <c r="M14" s="33">
        <v>32.665971771523722</v>
      </c>
      <c r="N14" s="34">
        <v>152541</v>
      </c>
      <c r="O14" s="35">
        <v>2</v>
      </c>
      <c r="P14" s="35">
        <v>34</v>
      </c>
      <c r="Q14" s="35">
        <v>4</v>
      </c>
      <c r="R14" s="35">
        <v>8</v>
      </c>
      <c r="S14" s="35">
        <v>2</v>
      </c>
      <c r="T14" s="35">
        <v>27</v>
      </c>
      <c r="U14" s="35">
        <v>0</v>
      </c>
      <c r="V14" s="35">
        <v>2</v>
      </c>
      <c r="W14" s="35">
        <f>SUM(O14:U14)</f>
        <v>77</v>
      </c>
      <c r="X14" s="24">
        <v>818</v>
      </c>
      <c r="Y14" s="24">
        <v>26</v>
      </c>
      <c r="Z14" s="24">
        <v>50</v>
      </c>
      <c r="AA14" s="24">
        <v>37</v>
      </c>
      <c r="AB14" s="24">
        <v>14</v>
      </c>
      <c r="AC14" s="23">
        <f t="shared" si="1"/>
        <v>945</v>
      </c>
      <c r="AD14" s="25">
        <v>583</v>
      </c>
    </row>
    <row r="15" spans="1:30" x14ac:dyDescent="0.25">
      <c r="A15" s="10" t="s">
        <v>19</v>
      </c>
      <c r="B15" s="10" t="s">
        <v>37</v>
      </c>
      <c r="C15" s="28">
        <v>1316063</v>
      </c>
      <c r="D15" s="29">
        <v>1281472</v>
      </c>
      <c r="E15" s="30">
        <f t="shared" si="3"/>
        <v>2597535</v>
      </c>
      <c r="F15" s="28">
        <v>15910</v>
      </c>
      <c r="G15" s="31">
        <v>163.26429918290384</v>
      </c>
      <c r="H15" s="32">
        <v>5.7</v>
      </c>
      <c r="I15" s="33">
        <v>1.701215077225859</v>
      </c>
      <c r="J15" s="33">
        <v>38.818829418559879</v>
      </c>
      <c r="K15" s="33">
        <v>2.4951332734351603</v>
      </c>
      <c r="L15" s="33">
        <v>13.78968253968254</v>
      </c>
      <c r="M15" s="33">
        <v>43.195139691096564</v>
      </c>
      <c r="N15" s="34">
        <v>373968</v>
      </c>
      <c r="O15" s="35">
        <v>3</v>
      </c>
      <c r="P15" s="35">
        <v>105</v>
      </c>
      <c r="Q15" s="35">
        <v>11</v>
      </c>
      <c r="R15" s="35">
        <v>12</v>
      </c>
      <c r="S15" s="35">
        <v>6</v>
      </c>
      <c r="T15" s="35">
        <v>89</v>
      </c>
      <c r="U15" s="35">
        <v>0</v>
      </c>
      <c r="V15" s="35">
        <v>1</v>
      </c>
      <c r="W15" s="35">
        <f>SUM(O15:U15)</f>
        <v>226</v>
      </c>
      <c r="X15" s="24">
        <v>2943</v>
      </c>
      <c r="Y15" s="24">
        <v>128</v>
      </c>
      <c r="Z15" s="24">
        <v>54</v>
      </c>
      <c r="AA15" s="24">
        <v>126</v>
      </c>
      <c r="AB15" s="24">
        <v>42</v>
      </c>
      <c r="AC15" s="23">
        <f t="shared" si="1"/>
        <v>3293</v>
      </c>
      <c r="AD15" s="25">
        <v>2668</v>
      </c>
    </row>
    <row r="16" spans="1:30" x14ac:dyDescent="0.25">
      <c r="A16" s="10" t="s">
        <v>20</v>
      </c>
      <c r="B16" s="10" t="s">
        <v>37</v>
      </c>
      <c r="C16" s="28">
        <v>1650838</v>
      </c>
      <c r="D16" s="29">
        <v>1478133</v>
      </c>
      <c r="E16" s="30">
        <f t="shared" si="3"/>
        <v>3128971</v>
      </c>
      <c r="F16" s="28">
        <v>108</v>
      </c>
      <c r="G16" s="31">
        <v>28971.953703703704</v>
      </c>
      <c r="H16" s="32">
        <v>6.3</v>
      </c>
      <c r="I16" s="33">
        <v>72.400875589556108</v>
      </c>
      <c r="J16" s="33">
        <v>24.264136182760513</v>
      </c>
      <c r="K16" s="33">
        <v>0.15345383973100443</v>
      </c>
      <c r="L16" s="33">
        <v>0.2068617937550305</v>
      </c>
      <c r="M16" s="33">
        <v>2.9746725941973384</v>
      </c>
      <c r="N16" s="34">
        <v>265878</v>
      </c>
      <c r="O16" s="35"/>
      <c r="P16" s="35"/>
      <c r="Q16" s="35"/>
      <c r="R16" s="35"/>
      <c r="S16" s="35"/>
      <c r="T16" s="35"/>
      <c r="U16" s="35"/>
      <c r="V16" s="35"/>
      <c r="W16" s="35"/>
      <c r="X16" s="24">
        <v>120</v>
      </c>
      <c r="Y16" s="24">
        <v>5</v>
      </c>
      <c r="Z16" s="24">
        <v>12</v>
      </c>
      <c r="AA16" s="24">
        <v>72</v>
      </c>
      <c r="AB16" s="24">
        <v>9</v>
      </c>
      <c r="AC16" s="23">
        <f t="shared" si="1"/>
        <v>218</v>
      </c>
      <c r="AD16" s="25"/>
    </row>
    <row r="17" spans="1:30" x14ac:dyDescent="0.25">
      <c r="A17" s="10" t="s">
        <v>21</v>
      </c>
      <c r="B17" s="10" t="s">
        <v>37</v>
      </c>
      <c r="C17" s="28">
        <v>932721</v>
      </c>
      <c r="D17" s="29">
        <v>851732</v>
      </c>
      <c r="E17" s="30">
        <f t="shared" si="3"/>
        <v>1784453</v>
      </c>
      <c r="F17" s="28">
        <v>1948</v>
      </c>
      <c r="G17" s="31">
        <v>916.04363449691994</v>
      </c>
      <c r="H17" s="32">
        <v>5.5</v>
      </c>
      <c r="I17" s="33">
        <v>2.7066343590144428</v>
      </c>
      <c r="J17" s="33">
        <v>40.351562839252061</v>
      </c>
      <c r="K17" s="33">
        <v>6.3277837124271556</v>
      </c>
      <c r="L17" s="33">
        <v>7.5458343103792673</v>
      </c>
      <c r="M17" s="33">
        <v>43.068184778927076</v>
      </c>
      <c r="N17" s="34">
        <v>230286</v>
      </c>
      <c r="O17" s="35">
        <v>4</v>
      </c>
      <c r="P17" s="35">
        <v>30</v>
      </c>
      <c r="Q17" s="35">
        <v>4</v>
      </c>
      <c r="R17" s="35">
        <v>11</v>
      </c>
      <c r="S17" s="35">
        <v>0</v>
      </c>
      <c r="T17" s="35">
        <v>27</v>
      </c>
      <c r="U17" s="35">
        <v>1</v>
      </c>
      <c r="V17" s="35">
        <v>1</v>
      </c>
      <c r="W17" s="35">
        <f>SUM(O17:V17)</f>
        <v>78</v>
      </c>
      <c r="X17" s="24">
        <v>1015</v>
      </c>
      <c r="Y17" s="24">
        <v>24</v>
      </c>
      <c r="Z17" s="24">
        <v>52</v>
      </c>
      <c r="AA17" s="24">
        <v>63</v>
      </c>
      <c r="AB17" s="24">
        <v>21</v>
      </c>
      <c r="AC17" s="23">
        <f t="shared" si="1"/>
        <v>1175</v>
      </c>
      <c r="AD17" s="25">
        <v>1160</v>
      </c>
    </row>
    <row r="18" spans="1:30" x14ac:dyDescent="0.25">
      <c r="A18" s="10" t="s">
        <v>22</v>
      </c>
      <c r="B18" s="10" t="s">
        <v>37</v>
      </c>
      <c r="C18" s="28">
        <v>1288824</v>
      </c>
      <c r="D18" s="29">
        <v>1143424</v>
      </c>
      <c r="E18" s="30">
        <f t="shared" si="3"/>
        <v>2432248</v>
      </c>
      <c r="F18" s="28">
        <v>2160</v>
      </c>
      <c r="G18" s="31">
        <v>1126.0407407407408</v>
      </c>
      <c r="H18" s="32">
        <v>5.7</v>
      </c>
      <c r="I18" s="33">
        <v>44.629613343886497</v>
      </c>
      <c r="J18" s="33">
        <v>44.862662328144694</v>
      </c>
      <c r="K18" s="33">
        <v>0.79344140552477549</v>
      </c>
      <c r="L18" s="33">
        <v>2.6822618942924983</v>
      </c>
      <c r="M18" s="33">
        <v>7.0320210281515356</v>
      </c>
      <c r="N18" s="34">
        <v>204678</v>
      </c>
      <c r="O18" s="35"/>
      <c r="P18" s="35"/>
      <c r="Q18" s="35"/>
      <c r="R18" s="35"/>
      <c r="S18" s="35"/>
      <c r="T18" s="35"/>
      <c r="U18" s="35"/>
      <c r="V18" s="35"/>
      <c r="W18" s="35"/>
      <c r="X18" s="24">
        <v>450</v>
      </c>
      <c r="Y18" s="24">
        <v>15</v>
      </c>
      <c r="Z18" s="24">
        <v>48</v>
      </c>
      <c r="AA18" s="24">
        <v>53</v>
      </c>
      <c r="AB18" s="24">
        <v>13</v>
      </c>
      <c r="AC18" s="23">
        <f t="shared" si="1"/>
        <v>579</v>
      </c>
      <c r="AD18" s="25"/>
    </row>
    <row r="19" spans="1:30" x14ac:dyDescent="0.25">
      <c r="A19" s="6" t="s">
        <v>23</v>
      </c>
      <c r="B19" s="6" t="s">
        <v>37</v>
      </c>
      <c r="C19" s="16">
        <v>430121</v>
      </c>
      <c r="D19" s="17">
        <v>419262</v>
      </c>
      <c r="E19" s="18">
        <f t="shared" si="3"/>
        <v>849383</v>
      </c>
      <c r="F19" s="16">
        <v>1417</v>
      </c>
      <c r="G19" s="19">
        <v>599.42342978122792</v>
      </c>
      <c r="H19" s="20">
        <v>5.3</v>
      </c>
      <c r="I19" s="21">
        <v>6.0051030489428783</v>
      </c>
      <c r="J19" s="21">
        <v>52.743533131158664</v>
      </c>
      <c r="K19" s="21">
        <v>3.8994510356440237</v>
      </c>
      <c r="L19" s="21">
        <v>10.372763120591747</v>
      </c>
      <c r="M19" s="21">
        <v>26.979149663662682</v>
      </c>
      <c r="N19" s="22">
        <v>116401</v>
      </c>
      <c r="O19" s="23">
        <v>3</v>
      </c>
      <c r="P19" s="23">
        <v>23</v>
      </c>
      <c r="Q19" s="23">
        <v>4</v>
      </c>
      <c r="R19" s="23">
        <v>5</v>
      </c>
      <c r="S19" s="23">
        <v>1</v>
      </c>
      <c r="T19" s="23">
        <v>20</v>
      </c>
      <c r="U19" s="23">
        <v>2</v>
      </c>
      <c r="V19" s="23">
        <v>0</v>
      </c>
      <c r="W19" s="23">
        <f>SUM(O19:V19)</f>
        <v>58</v>
      </c>
      <c r="X19" s="24">
        <v>808</v>
      </c>
      <c r="Y19" s="24">
        <v>20</v>
      </c>
      <c r="Z19" s="24">
        <v>16</v>
      </c>
      <c r="AA19" s="24">
        <v>40</v>
      </c>
      <c r="AB19" s="24">
        <v>11</v>
      </c>
      <c r="AC19" s="23">
        <f t="shared" si="1"/>
        <v>895</v>
      </c>
      <c r="AD19" s="25">
        <v>381</v>
      </c>
    </row>
    <row r="20" spans="1:30" x14ac:dyDescent="0.25">
      <c r="A20" s="6" t="s">
        <v>24</v>
      </c>
      <c r="B20" s="6" t="s">
        <v>37</v>
      </c>
      <c r="C20" s="16">
        <v>882136</v>
      </c>
      <c r="D20" s="17">
        <v>799250</v>
      </c>
      <c r="E20" s="18">
        <f t="shared" si="3"/>
        <v>1681386</v>
      </c>
      <c r="F20" s="16">
        <v>2925</v>
      </c>
      <c r="G20" s="19">
        <v>574.83282051282049</v>
      </c>
      <c r="H20" s="20">
        <v>5.3</v>
      </c>
      <c r="I20" s="21">
        <v>14.647729121724115</v>
      </c>
      <c r="J20" s="21">
        <v>28.628865059494753</v>
      </c>
      <c r="K20" s="21">
        <v>8.2022454217645304</v>
      </c>
      <c r="L20" s="21">
        <v>19.467670230578257</v>
      </c>
      <c r="M20" s="21">
        <v>29.053490166438344</v>
      </c>
      <c r="N20" s="22">
        <v>190521</v>
      </c>
      <c r="O20" s="23">
        <v>3</v>
      </c>
      <c r="P20" s="23">
        <v>48</v>
      </c>
      <c r="Q20" s="23">
        <v>5</v>
      </c>
      <c r="R20" s="23">
        <v>10</v>
      </c>
      <c r="S20" s="23">
        <v>11</v>
      </c>
      <c r="T20" s="23">
        <v>38</v>
      </c>
      <c r="U20" s="23">
        <v>2</v>
      </c>
      <c r="V20" s="23">
        <v>2</v>
      </c>
      <c r="W20" s="23">
        <f t="shared" ref="W20:W31" si="4">SUM(O20:V20)</f>
        <v>119</v>
      </c>
      <c r="X20" s="24">
        <v>1453</v>
      </c>
      <c r="Y20" s="24">
        <v>40</v>
      </c>
      <c r="Z20" s="24">
        <v>70</v>
      </c>
      <c r="AA20" s="24">
        <v>75</v>
      </c>
      <c r="AB20" s="24">
        <v>23</v>
      </c>
      <c r="AC20" s="23">
        <f t="shared" si="1"/>
        <v>1661</v>
      </c>
      <c r="AD20" s="25">
        <v>1068</v>
      </c>
    </row>
    <row r="21" spans="1:30" x14ac:dyDescent="0.25">
      <c r="A21" s="6" t="s">
        <v>25</v>
      </c>
      <c r="B21" s="6" t="s">
        <v>37</v>
      </c>
      <c r="C21" s="16">
        <v>901697</v>
      </c>
      <c r="D21" s="17">
        <v>875385</v>
      </c>
      <c r="E21" s="18">
        <f t="shared" si="3"/>
        <v>1777082</v>
      </c>
      <c r="F21" s="16">
        <v>2946</v>
      </c>
      <c r="G21" s="19">
        <v>603.21860149355064</v>
      </c>
      <c r="H21" s="20">
        <v>5.5</v>
      </c>
      <c r="I21" s="21">
        <v>2.8475718501917582</v>
      </c>
      <c r="J21" s="21">
        <v>41.598933097646814</v>
      </c>
      <c r="K21" s="21">
        <v>2.3882987957892077</v>
      </c>
      <c r="L21" s="21">
        <v>9.3389466706649209</v>
      </c>
      <c r="M21" s="21">
        <v>43.826249585707295</v>
      </c>
      <c r="N21" s="22">
        <v>253444</v>
      </c>
      <c r="O21" s="23">
        <v>3</v>
      </c>
      <c r="P21" s="23">
        <v>50</v>
      </c>
      <c r="Q21" s="23">
        <v>13</v>
      </c>
      <c r="R21" s="23">
        <v>15</v>
      </c>
      <c r="S21" s="23">
        <v>0</v>
      </c>
      <c r="T21" s="23">
        <v>45</v>
      </c>
      <c r="U21" s="23">
        <v>3</v>
      </c>
      <c r="V21" s="23">
        <v>0</v>
      </c>
      <c r="W21" s="23">
        <f t="shared" si="4"/>
        <v>129</v>
      </c>
      <c r="X21" s="24">
        <v>1626</v>
      </c>
      <c r="Y21" s="24">
        <v>64</v>
      </c>
      <c r="Z21" s="24">
        <v>91</v>
      </c>
      <c r="AA21" s="24">
        <v>53</v>
      </c>
      <c r="AB21" s="24">
        <v>31</v>
      </c>
      <c r="AC21" s="23">
        <f t="shared" si="1"/>
        <v>1865</v>
      </c>
      <c r="AD21" s="25">
        <v>886</v>
      </c>
    </row>
    <row r="22" spans="1:30" x14ac:dyDescent="0.25">
      <c r="A22" s="6" t="s">
        <v>26</v>
      </c>
      <c r="B22" s="6" t="s">
        <v>37</v>
      </c>
      <c r="C22" s="16">
        <v>1172717</v>
      </c>
      <c r="D22" s="17">
        <v>1135748</v>
      </c>
      <c r="E22" s="18">
        <f t="shared" si="3"/>
        <v>2308465</v>
      </c>
      <c r="F22" s="16">
        <v>10728</v>
      </c>
      <c r="G22" s="19">
        <v>215.18130126771067</v>
      </c>
      <c r="H22" s="20">
        <v>5.6</v>
      </c>
      <c r="I22" s="21">
        <v>7.7848175734216616</v>
      </c>
      <c r="J22" s="21">
        <v>39.018929008196984</v>
      </c>
      <c r="K22" s="21">
        <v>7.5947787456011184</v>
      </c>
      <c r="L22" s="21">
        <v>21.330699649515633</v>
      </c>
      <c r="M22" s="21">
        <v>24.270775023264605</v>
      </c>
      <c r="N22" s="22">
        <v>280469</v>
      </c>
      <c r="O22" s="23">
        <v>4</v>
      </c>
      <c r="P22" s="23">
        <v>33</v>
      </c>
      <c r="Q22" s="23">
        <v>6</v>
      </c>
      <c r="R22" s="23">
        <v>11</v>
      </c>
      <c r="S22" s="23">
        <v>0</v>
      </c>
      <c r="T22" s="23">
        <v>58</v>
      </c>
      <c r="U22" s="23">
        <v>3</v>
      </c>
      <c r="V22" s="23">
        <v>1</v>
      </c>
      <c r="W22" s="23">
        <f t="shared" si="4"/>
        <v>116</v>
      </c>
      <c r="X22" s="24">
        <v>2133</v>
      </c>
      <c r="Y22" s="24">
        <v>17</v>
      </c>
      <c r="Z22" s="24">
        <v>91</v>
      </c>
      <c r="AA22" s="24">
        <v>55</v>
      </c>
      <c r="AB22" s="24">
        <v>30</v>
      </c>
      <c r="AC22" s="23">
        <f t="shared" si="1"/>
        <v>2326</v>
      </c>
      <c r="AD22" s="25">
        <v>1399</v>
      </c>
    </row>
    <row r="23" spans="1:30" x14ac:dyDescent="0.25">
      <c r="A23" s="6" t="s">
        <v>27</v>
      </c>
      <c r="B23" s="6" t="s">
        <v>37</v>
      </c>
      <c r="C23" s="16">
        <v>937020</v>
      </c>
      <c r="D23" s="17">
        <v>908082</v>
      </c>
      <c r="E23" s="18">
        <f t="shared" si="3"/>
        <v>1845102</v>
      </c>
      <c r="F23" s="16">
        <v>4502</v>
      </c>
      <c r="G23" s="19">
        <v>409.84051532652154</v>
      </c>
      <c r="H23" s="20">
        <v>5.5</v>
      </c>
      <c r="I23" s="21">
        <v>6.2285892245406416</v>
      </c>
      <c r="J23" s="21">
        <v>38.984497284092427</v>
      </c>
      <c r="K23" s="21">
        <v>4.1371583881705343</v>
      </c>
      <c r="L23" s="21">
        <v>11.104280335049566</v>
      </c>
      <c r="M23" s="21">
        <v>39.545474768146832</v>
      </c>
      <c r="N23" s="22">
        <v>247247</v>
      </c>
      <c r="O23" s="23">
        <v>3</v>
      </c>
      <c r="P23" s="23">
        <v>57</v>
      </c>
      <c r="Q23" s="23">
        <v>8</v>
      </c>
      <c r="R23" s="23">
        <v>11</v>
      </c>
      <c r="S23" s="23">
        <v>16</v>
      </c>
      <c r="T23" s="23">
        <v>37</v>
      </c>
      <c r="U23" s="23">
        <v>0</v>
      </c>
      <c r="V23" s="23">
        <v>1</v>
      </c>
      <c r="W23" s="23">
        <f t="shared" si="4"/>
        <v>133</v>
      </c>
      <c r="X23" s="24">
        <v>1974</v>
      </c>
      <c r="Y23" s="24">
        <v>101</v>
      </c>
      <c r="Z23" s="24">
        <v>57</v>
      </c>
      <c r="AA23" s="24">
        <v>90</v>
      </c>
      <c r="AB23" s="24">
        <v>18</v>
      </c>
      <c r="AC23" s="23">
        <f t="shared" si="1"/>
        <v>2240</v>
      </c>
      <c r="AD23" s="25">
        <v>1997</v>
      </c>
    </row>
    <row r="24" spans="1:30" x14ac:dyDescent="0.25">
      <c r="A24" s="6" t="s">
        <v>28</v>
      </c>
      <c r="B24" s="6" t="s">
        <v>37</v>
      </c>
      <c r="C24" s="16">
        <v>700743</v>
      </c>
      <c r="D24" s="17">
        <v>685587</v>
      </c>
      <c r="E24" s="18">
        <f t="shared" si="3"/>
        <v>1386330</v>
      </c>
      <c r="F24" s="16">
        <v>2512</v>
      </c>
      <c r="G24" s="19">
        <v>551.88296178343944</v>
      </c>
      <c r="H24" s="20">
        <v>6.4</v>
      </c>
      <c r="I24" s="21">
        <v>1.7257123996039168</v>
      </c>
      <c r="J24" s="21">
        <v>30.165584772802287</v>
      </c>
      <c r="K24" s="21">
        <v>4.8619210034107159</v>
      </c>
      <c r="L24" s="21">
        <v>14.756848938277038</v>
      </c>
      <c r="M24" s="21">
        <v>48.489932885906043</v>
      </c>
      <c r="N24" s="22">
        <v>181780</v>
      </c>
      <c r="O24" s="23">
        <v>2</v>
      </c>
      <c r="P24" s="23">
        <v>16</v>
      </c>
      <c r="Q24" s="23">
        <v>9</v>
      </c>
      <c r="R24" s="23">
        <v>9</v>
      </c>
      <c r="S24" s="23">
        <v>5</v>
      </c>
      <c r="T24" s="23">
        <v>37</v>
      </c>
      <c r="U24" s="23">
        <v>2</v>
      </c>
      <c r="V24" s="23">
        <v>1</v>
      </c>
      <c r="W24" s="23">
        <f t="shared" si="4"/>
        <v>81</v>
      </c>
      <c r="X24" s="24">
        <v>874</v>
      </c>
      <c r="Y24" s="24">
        <v>18</v>
      </c>
      <c r="Z24" s="24">
        <v>52</v>
      </c>
      <c r="AA24" s="24">
        <v>51</v>
      </c>
      <c r="AB24" s="24">
        <v>15</v>
      </c>
      <c r="AC24" s="23">
        <f t="shared" si="1"/>
        <v>1010</v>
      </c>
      <c r="AD24" s="25">
        <v>743</v>
      </c>
    </row>
    <row r="25" spans="1:30" x14ac:dyDescent="0.25">
      <c r="A25" s="6" t="s">
        <v>29</v>
      </c>
      <c r="B25" s="6" t="s">
        <v>37</v>
      </c>
      <c r="C25" s="16">
        <v>437183</v>
      </c>
      <c r="D25" s="17">
        <v>402109</v>
      </c>
      <c r="E25" s="18">
        <f t="shared" si="3"/>
        <v>839292</v>
      </c>
      <c r="F25" s="16">
        <v>8785</v>
      </c>
      <c r="G25" s="19">
        <v>95.536937962435971</v>
      </c>
      <c r="H25" s="20">
        <v>5.2</v>
      </c>
      <c r="I25" s="21">
        <v>5.7068420073196453</v>
      </c>
      <c r="J25" s="21">
        <v>9.7540130540564753</v>
      </c>
      <c r="K25" s="21">
        <v>1.8402497777226392</v>
      </c>
      <c r="L25" s="21">
        <v>63.274955372219807</v>
      </c>
      <c r="M25" s="21">
        <v>19.42393978868143</v>
      </c>
      <c r="N25" s="22">
        <v>145089</v>
      </c>
      <c r="O25" s="23">
        <v>3</v>
      </c>
      <c r="P25" s="23">
        <v>17</v>
      </c>
      <c r="Q25" s="23">
        <v>2</v>
      </c>
      <c r="R25" s="23">
        <v>5</v>
      </c>
      <c r="S25" s="23">
        <v>0</v>
      </c>
      <c r="T25" s="23">
        <v>29</v>
      </c>
      <c r="U25" s="23">
        <v>3</v>
      </c>
      <c r="V25" s="23">
        <v>0</v>
      </c>
      <c r="W25" s="23">
        <f t="shared" si="4"/>
        <v>59</v>
      </c>
      <c r="X25" s="24">
        <v>973</v>
      </c>
      <c r="Y25" s="24">
        <v>2</v>
      </c>
      <c r="Z25" s="24">
        <v>27</v>
      </c>
      <c r="AA25" s="24">
        <v>17</v>
      </c>
      <c r="AB25" s="24">
        <v>8</v>
      </c>
      <c r="AC25" s="23">
        <f t="shared" si="1"/>
        <v>1027</v>
      </c>
      <c r="AD25" s="25">
        <v>0</v>
      </c>
    </row>
    <row r="26" spans="1:30" x14ac:dyDescent="0.25">
      <c r="A26" s="6" t="s">
        <v>30</v>
      </c>
      <c r="B26" s="6" t="s">
        <v>37</v>
      </c>
      <c r="C26" s="16">
        <v>870168</v>
      </c>
      <c r="D26" s="17">
        <v>769729</v>
      </c>
      <c r="E26" s="18">
        <f t="shared" si="3"/>
        <v>1639897</v>
      </c>
      <c r="F26" s="16">
        <v>5165</v>
      </c>
      <c r="G26" s="19">
        <v>317.50183930300096</v>
      </c>
      <c r="H26" s="20">
        <v>6.1</v>
      </c>
      <c r="I26" s="21">
        <v>6.5602876426949548</v>
      </c>
      <c r="J26" s="21">
        <v>46.578666797521493</v>
      </c>
      <c r="K26" s="21">
        <v>2.0631939580758987</v>
      </c>
      <c r="L26" s="21">
        <v>13.742879192744695</v>
      </c>
      <c r="M26" s="21">
        <v>31.054972408962961</v>
      </c>
      <c r="N26" s="22">
        <v>224167</v>
      </c>
      <c r="O26" s="23">
        <v>5</v>
      </c>
      <c r="P26" s="23">
        <v>36</v>
      </c>
      <c r="Q26" s="23">
        <v>5</v>
      </c>
      <c r="R26" s="23">
        <v>14</v>
      </c>
      <c r="S26" s="23">
        <v>2</v>
      </c>
      <c r="T26" s="23">
        <v>26</v>
      </c>
      <c r="U26" s="23">
        <v>2</v>
      </c>
      <c r="V26" s="23">
        <v>1</v>
      </c>
      <c r="W26" s="23">
        <f t="shared" si="4"/>
        <v>91</v>
      </c>
      <c r="X26" s="24">
        <v>1251</v>
      </c>
      <c r="Y26" s="24">
        <v>56</v>
      </c>
      <c r="Z26" s="24">
        <v>73</v>
      </c>
      <c r="AA26" s="24">
        <v>26</v>
      </c>
      <c r="AB26" s="24">
        <v>24</v>
      </c>
      <c r="AC26" s="23">
        <f t="shared" si="1"/>
        <v>1430</v>
      </c>
      <c r="AD26" s="25">
        <v>984</v>
      </c>
    </row>
    <row r="27" spans="1:30" x14ac:dyDescent="0.25">
      <c r="A27" s="6" t="s">
        <v>31</v>
      </c>
      <c r="B27" s="6" t="s">
        <v>37</v>
      </c>
      <c r="C27" s="16">
        <v>468525</v>
      </c>
      <c r="D27" s="17">
        <v>453487</v>
      </c>
      <c r="E27" s="18">
        <f t="shared" si="3"/>
        <v>922012</v>
      </c>
      <c r="F27" s="16">
        <v>1554</v>
      </c>
      <c r="G27" s="19">
        <v>593.31531531531527</v>
      </c>
      <c r="H27" s="20">
        <v>5.0999999999999996</v>
      </c>
      <c r="I27" s="21">
        <v>9.4503002561626008</v>
      </c>
      <c r="J27" s="21">
        <v>44.117918783857554</v>
      </c>
      <c r="K27" s="21">
        <v>6.9953386805526394</v>
      </c>
      <c r="L27" s="21">
        <v>11.231680174694494</v>
      </c>
      <c r="M27" s="21">
        <v>28.204762104732708</v>
      </c>
      <c r="N27" s="22">
        <v>119065</v>
      </c>
      <c r="O27" s="23">
        <v>1</v>
      </c>
      <c r="P27" s="23">
        <v>36</v>
      </c>
      <c r="Q27" s="23">
        <v>3</v>
      </c>
      <c r="R27" s="23">
        <v>7</v>
      </c>
      <c r="S27" s="23">
        <v>0</v>
      </c>
      <c r="T27" s="23">
        <v>15</v>
      </c>
      <c r="U27" s="23">
        <v>0</v>
      </c>
      <c r="V27" s="23">
        <v>0</v>
      </c>
      <c r="W27" s="23">
        <f t="shared" si="4"/>
        <v>62</v>
      </c>
      <c r="X27" s="24">
        <v>631</v>
      </c>
      <c r="Y27" s="24">
        <v>13</v>
      </c>
      <c r="Z27" s="24">
        <v>41</v>
      </c>
      <c r="AA27" s="24">
        <v>28</v>
      </c>
      <c r="AB27" s="24">
        <v>12</v>
      </c>
      <c r="AC27" s="23">
        <f t="shared" si="1"/>
        <v>725</v>
      </c>
      <c r="AD27" s="25">
        <v>583</v>
      </c>
    </row>
    <row r="28" spans="1:30" x14ac:dyDescent="0.25">
      <c r="A28" s="6" t="s">
        <v>32</v>
      </c>
      <c r="B28" s="6" t="s">
        <v>37</v>
      </c>
      <c r="C28" s="16">
        <v>376757</v>
      </c>
      <c r="D28" s="17">
        <v>349362</v>
      </c>
      <c r="E28" s="18">
        <f t="shared" si="3"/>
        <v>726119</v>
      </c>
      <c r="F28" s="16">
        <v>1423</v>
      </c>
      <c r="G28" s="19">
        <v>510.27336612789878</v>
      </c>
      <c r="H28" s="20">
        <v>5</v>
      </c>
      <c r="I28" s="21">
        <v>6.5934545200795505</v>
      </c>
      <c r="J28" s="21">
        <v>28.43672586441506</v>
      </c>
      <c r="K28" s="21">
        <v>5.9366386378702769</v>
      </c>
      <c r="L28" s="21">
        <v>29.274100694323298</v>
      </c>
      <c r="M28" s="21">
        <v>29.759080283311818</v>
      </c>
      <c r="N28" s="22">
        <v>114644</v>
      </c>
      <c r="O28" s="23">
        <v>3</v>
      </c>
      <c r="P28" s="23">
        <v>28</v>
      </c>
      <c r="Q28" s="23">
        <v>2</v>
      </c>
      <c r="R28" s="23">
        <v>5</v>
      </c>
      <c r="S28" s="23">
        <v>0</v>
      </c>
      <c r="T28" s="23">
        <v>14</v>
      </c>
      <c r="U28" s="23">
        <v>0</v>
      </c>
      <c r="V28" s="23">
        <v>0</v>
      </c>
      <c r="W28" s="23">
        <f t="shared" si="4"/>
        <v>52</v>
      </c>
      <c r="X28" s="24">
        <v>775</v>
      </c>
      <c r="Y28" s="24">
        <v>15</v>
      </c>
      <c r="Z28" s="24">
        <v>17</v>
      </c>
      <c r="AA28" s="24">
        <v>38</v>
      </c>
      <c r="AB28" s="24">
        <v>4</v>
      </c>
      <c r="AC28" s="23">
        <f t="shared" si="1"/>
        <v>849</v>
      </c>
      <c r="AD28" s="25">
        <v>374</v>
      </c>
    </row>
    <row r="29" spans="1:30" x14ac:dyDescent="0.25">
      <c r="A29" s="6" t="s">
        <v>33</v>
      </c>
      <c r="B29" s="6" t="s">
        <v>37</v>
      </c>
      <c r="C29" s="16">
        <v>928366</v>
      </c>
      <c r="D29" s="17">
        <v>850041</v>
      </c>
      <c r="E29" s="18">
        <f t="shared" si="3"/>
        <v>1778407</v>
      </c>
      <c r="F29" s="16">
        <v>19637</v>
      </c>
      <c r="G29" s="19">
        <v>90.564088200845347</v>
      </c>
      <c r="H29" s="20">
        <v>5.4</v>
      </c>
      <c r="I29" s="21">
        <v>0.36997526703449024</v>
      </c>
      <c r="J29" s="21">
        <v>15.732951920202213</v>
      </c>
      <c r="K29" s="21">
        <v>2.6883510450357404</v>
      </c>
      <c r="L29" s="21">
        <v>14.277172288206996</v>
      </c>
      <c r="M29" s="21">
        <v>66.931549479520555</v>
      </c>
      <c r="N29" s="22">
        <v>294344</v>
      </c>
      <c r="O29" s="23">
        <v>5</v>
      </c>
      <c r="P29" s="23">
        <v>37</v>
      </c>
      <c r="Q29" s="23">
        <v>2</v>
      </c>
      <c r="R29" s="23">
        <v>8</v>
      </c>
      <c r="S29" s="23">
        <v>18</v>
      </c>
      <c r="T29" s="23">
        <v>40</v>
      </c>
      <c r="U29" s="23">
        <v>0</v>
      </c>
      <c r="V29" s="23">
        <v>0</v>
      </c>
      <c r="W29" s="23">
        <f t="shared" si="4"/>
        <v>110</v>
      </c>
      <c r="X29" s="24">
        <v>3024</v>
      </c>
      <c r="Y29" s="24">
        <v>92</v>
      </c>
      <c r="Z29" s="24">
        <v>174</v>
      </c>
      <c r="AA29" s="24">
        <v>65</v>
      </c>
      <c r="AB29" s="24">
        <v>13</v>
      </c>
      <c r="AC29" s="23">
        <f t="shared" si="1"/>
        <v>3368</v>
      </c>
      <c r="AD29" s="25">
        <v>1177</v>
      </c>
    </row>
    <row r="30" spans="1:30" x14ac:dyDescent="0.25">
      <c r="A30" s="6" t="s">
        <v>34</v>
      </c>
      <c r="B30" s="6" t="s">
        <v>37</v>
      </c>
      <c r="C30" s="16">
        <v>555296</v>
      </c>
      <c r="D30" s="17">
        <v>527895</v>
      </c>
      <c r="E30" s="18">
        <f t="shared" si="3"/>
        <v>1083191</v>
      </c>
      <c r="F30" s="16">
        <v>8570</v>
      </c>
      <c r="G30" s="19">
        <v>126.39334889148191</v>
      </c>
      <c r="H30" s="20">
        <v>5.2</v>
      </c>
      <c r="I30" s="21">
        <v>9.6410699499585988</v>
      </c>
      <c r="J30" s="21">
        <v>22.209021852611873</v>
      </c>
      <c r="K30" s="21">
        <v>1.8756525182705115</v>
      </c>
      <c r="L30" s="21">
        <v>49.326781149872197</v>
      </c>
      <c r="M30" s="21">
        <v>16.947474529286819</v>
      </c>
      <c r="N30" s="22">
        <v>166662</v>
      </c>
      <c r="O30" s="23">
        <v>2</v>
      </c>
      <c r="P30" s="23">
        <v>12</v>
      </c>
      <c r="Q30" s="23">
        <v>6</v>
      </c>
      <c r="R30" s="23">
        <v>15</v>
      </c>
      <c r="S30" s="23">
        <v>0</v>
      </c>
      <c r="T30" s="23">
        <v>22</v>
      </c>
      <c r="U30" s="23">
        <v>1</v>
      </c>
      <c r="V30" s="23">
        <v>1</v>
      </c>
      <c r="W30" s="23">
        <f t="shared" si="4"/>
        <v>59</v>
      </c>
      <c r="X30" s="24">
        <v>946</v>
      </c>
      <c r="Y30" s="24">
        <v>5</v>
      </c>
      <c r="Z30" s="24">
        <v>29</v>
      </c>
      <c r="AA30" s="24">
        <v>38</v>
      </c>
      <c r="AB30" s="24">
        <v>10</v>
      </c>
      <c r="AC30" s="23">
        <f t="shared" si="1"/>
        <v>1028</v>
      </c>
      <c r="AD30" s="25">
        <v>1452</v>
      </c>
    </row>
    <row r="31" spans="1:30" x14ac:dyDescent="0.25">
      <c r="A31" s="6" t="s">
        <v>35</v>
      </c>
      <c r="B31" s="6" t="s">
        <v>37</v>
      </c>
      <c r="C31" s="16">
        <v>606837</v>
      </c>
      <c r="D31" s="17">
        <v>552994</v>
      </c>
      <c r="E31" s="18">
        <f t="shared" si="3"/>
        <v>1159831</v>
      </c>
      <c r="F31" s="16">
        <v>5608</v>
      </c>
      <c r="G31" s="19">
        <v>206.81722539229671</v>
      </c>
      <c r="H31" s="20">
        <v>5.2</v>
      </c>
      <c r="I31" s="21">
        <v>2.6562032387856216</v>
      </c>
      <c r="J31" s="21">
        <v>29.643201542912248</v>
      </c>
      <c r="K31" s="21">
        <v>2.7666012702424103</v>
      </c>
      <c r="L31" s="21">
        <v>19.137432248196056</v>
      </c>
      <c r="M31" s="21">
        <v>45.796561699863666</v>
      </c>
      <c r="N31" s="22">
        <v>150365</v>
      </c>
      <c r="O31" s="23">
        <v>5</v>
      </c>
      <c r="P31" s="23">
        <v>11</v>
      </c>
      <c r="Q31" s="23">
        <v>6</v>
      </c>
      <c r="R31" s="23">
        <v>11</v>
      </c>
      <c r="S31" s="23">
        <v>5</v>
      </c>
      <c r="T31" s="23">
        <v>32</v>
      </c>
      <c r="U31" s="23">
        <v>0</v>
      </c>
      <c r="V31" s="23">
        <v>0</v>
      </c>
      <c r="W31" s="23">
        <f t="shared" si="4"/>
        <v>70</v>
      </c>
      <c r="X31" s="24">
        <v>1763</v>
      </c>
      <c r="Y31" s="24">
        <v>67</v>
      </c>
      <c r="Z31" s="24">
        <v>62</v>
      </c>
      <c r="AA31" s="24">
        <v>57</v>
      </c>
      <c r="AB31" s="24">
        <v>20</v>
      </c>
      <c r="AC31" s="23">
        <f t="shared" si="1"/>
        <v>1969</v>
      </c>
      <c r="AD31" s="25">
        <v>1218</v>
      </c>
    </row>
    <row r="33" spans="1:8" x14ac:dyDescent="0.25">
      <c r="A33" s="1"/>
      <c r="B33" s="1"/>
      <c r="C33" s="4"/>
      <c r="D33" s="4"/>
      <c r="E33" s="4"/>
      <c r="F33" s="4"/>
      <c r="G33" s="4"/>
      <c r="H33" s="5"/>
    </row>
    <row r="34" spans="1:8" x14ac:dyDescent="0.25">
      <c r="A34" s="1"/>
      <c r="B34" s="1"/>
      <c r="C34" s="4"/>
      <c r="D34" s="4"/>
      <c r="E34" s="4"/>
      <c r="F34" s="4"/>
      <c r="G34" s="4"/>
      <c r="H34" s="5"/>
    </row>
    <row r="35" spans="1:8" x14ac:dyDescent="0.25">
      <c r="A35" s="1"/>
      <c r="B35" s="1"/>
      <c r="C35" s="4"/>
      <c r="D35" s="4"/>
      <c r="E35" s="4"/>
      <c r="F35" s="4"/>
      <c r="G35" s="4"/>
      <c r="H35" s="5"/>
    </row>
    <row r="36" spans="1:8" x14ac:dyDescent="0.25">
      <c r="A36" s="1"/>
      <c r="B36" s="1"/>
      <c r="C36" s="4"/>
      <c r="D36" s="4"/>
      <c r="E36" s="4"/>
      <c r="F36" s="4"/>
      <c r="G36" s="4"/>
      <c r="H36" s="5"/>
    </row>
    <row r="37" spans="1:8" x14ac:dyDescent="0.25">
      <c r="A37" s="1"/>
      <c r="B37" s="1"/>
      <c r="C37" s="4"/>
      <c r="D37" s="4"/>
      <c r="E37" s="4"/>
      <c r="F37" s="4"/>
      <c r="G37" s="4"/>
      <c r="H37" s="5"/>
    </row>
    <row r="38" spans="1:8" x14ac:dyDescent="0.25">
      <c r="A38" s="1"/>
      <c r="B38" s="1"/>
      <c r="C38" s="4"/>
      <c r="D38" s="4"/>
      <c r="E38" s="4"/>
      <c r="F38" s="4"/>
      <c r="G38" s="4"/>
      <c r="H38" s="5"/>
    </row>
    <row r="39" spans="1:8" x14ac:dyDescent="0.25">
      <c r="A39" s="1"/>
      <c r="B39" s="1"/>
      <c r="C39" s="4"/>
      <c r="D39" s="4"/>
      <c r="E39" s="4"/>
      <c r="F39" s="4"/>
      <c r="G39" s="4"/>
      <c r="H39" s="5"/>
    </row>
    <row r="40" spans="1:8" x14ac:dyDescent="0.25">
      <c r="A40" s="1"/>
      <c r="B40" s="1"/>
    </row>
  </sheetData>
  <mergeCells count="10">
    <mergeCell ref="AD9:AD12"/>
    <mergeCell ref="V9:V12"/>
    <mergeCell ref="W9:W12"/>
    <mergeCell ref="O9:O12"/>
    <mergeCell ref="P9:P12"/>
    <mergeCell ref="Q9:Q12"/>
    <mergeCell ref="R9:R12"/>
    <mergeCell ref="S9:S12"/>
    <mergeCell ref="T9:T12"/>
    <mergeCell ref="U9:U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Sindh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Imran Khan</dc:creator>
  <cp:lastModifiedBy>Salman Akbar</cp:lastModifiedBy>
  <dcterms:created xsi:type="dcterms:W3CDTF">2015-06-05T18:17:20Z</dcterms:created>
  <dcterms:modified xsi:type="dcterms:W3CDTF">2026-03-26T05:53:03Z</dcterms:modified>
</cp:coreProperties>
</file>