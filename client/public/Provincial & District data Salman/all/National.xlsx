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Dr Imran\Portal\Infra Portal\Data\Census Data\Provincial &amp; District data\z Pakistan National\"/>
    </mc:Choice>
  </mc:AlternateContent>
  <xr:revisionPtr revIDLastSave="0" documentId="13_ncr:1_{78F697BA-D48E-48A7-BE76-06B16777D44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k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8" l="1"/>
  <c r="E3" i="8"/>
  <c r="F3" i="8"/>
  <c r="C5" i="8" l="1"/>
  <c r="C6" i="8" l="1"/>
  <c r="C7" i="8"/>
  <c r="C8" i="8"/>
  <c r="C4" i="8"/>
  <c r="C3" i="8" l="1"/>
</calcChain>
</file>

<file path=xl/sharedStrings.xml><?xml version="1.0" encoding="utf-8"?>
<sst xmlns="http://schemas.openxmlformats.org/spreadsheetml/2006/main" count="21" uniqueCount="21">
  <si>
    <t>Total Str</t>
  </si>
  <si>
    <t>NAME OF ADMINISTRATIVE UNIT</t>
  </si>
  <si>
    <t>AREA IN SQ.KM</t>
  </si>
  <si>
    <t>MALE</t>
  </si>
  <si>
    <t>FEMALE</t>
  </si>
  <si>
    <t>DENSITY PER SQ.KM</t>
  </si>
  <si>
    <t>AVG. H.HOLD SIZE</t>
  </si>
  <si>
    <t>PAKISTAN</t>
  </si>
  <si>
    <t>KHYBER PAKHTUNKHWA</t>
  </si>
  <si>
    <t>PUNJAB</t>
  </si>
  <si>
    <t>SINDH</t>
  </si>
  <si>
    <t>BALOCHISTAN</t>
  </si>
  <si>
    <t xml:space="preserve">ISLAMABAD </t>
  </si>
  <si>
    <t>Total Pop</t>
  </si>
  <si>
    <t>High Rise / Multi-Story Structure</t>
  </si>
  <si>
    <t>Normal Structures</t>
  </si>
  <si>
    <t>Jughi/Jhompri/Tent</t>
  </si>
  <si>
    <t>Under Construction</t>
  </si>
  <si>
    <t>Transgender</t>
  </si>
  <si>
    <t>Rural Str</t>
  </si>
  <si>
    <t>Urb Str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</si>
</sst>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#,##0.00;\-#,##0.00;\-"/>
    <numFmt numFmtId="165" formatCode="0.0"/>
    <numFmt numFmtId="166" formatCode="#,##0;\-#,##0;\-"/>
    <numFmt numFmtId="167" formatCode="_(* #,##0_);_(* \(#,##0\);_(* &quot;-&quot;??_);_(@_)"/>
    <numFmt numFmtId="168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indexed="8"/>
      <name val="ARIAL"/>
      <family val="2"/>
    </font>
    <font>
      <sz val="10"/>
      <color indexed="8"/>
      <name val="Arial"/>
      <family val="2"/>
    </font>
    <font>
      <sz val="9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>
      <alignment vertical="top"/>
    </xf>
  </cellStyleXfs>
  <cellXfs count="17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vertical="center" wrapText="1" readingOrder="1"/>
    </xf>
    <xf numFmtId="0" fontId="2" fillId="0" borderId="1" xfId="0" applyFont="1" applyFill="1" applyBorder="1" applyAlignment="1">
      <alignment horizontal="center" vertical="center" wrapText="1" readingOrder="1"/>
    </xf>
    <xf numFmtId="0" fontId="2" fillId="0" borderId="1" xfId="0" applyFont="1" applyBorder="1"/>
    <xf numFmtId="167" fontId="4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wrapText="1"/>
    </xf>
    <xf numFmtId="0" fontId="0" fillId="0" borderId="1" xfId="0" applyFont="1" applyBorder="1" applyAlignment="1">
      <alignment horizontal="center" vertical="center"/>
    </xf>
    <xf numFmtId="3" fontId="0" fillId="0" borderId="1" xfId="0" applyNumberFormat="1" applyFont="1" applyBorder="1" applyAlignment="1">
      <alignment horizontal="center" vertical="center"/>
    </xf>
    <xf numFmtId="166" fontId="4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168" fontId="0" fillId="0" borderId="1" xfId="0" applyNumberFormat="1" applyFont="1" applyBorder="1" applyAlignment="1">
      <alignment horizontal="center" vertical="center"/>
    </xf>
    <xf numFmtId="166" fontId="0" fillId="0" borderId="1" xfId="0" applyNumberFormat="1" applyFont="1" applyBorder="1" applyAlignment="1">
      <alignment horizontal="center" vertical="center"/>
    </xf>
    <xf numFmtId="167" fontId="4" fillId="0" borderId="1" xfId="1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3">
    <cellStyle name="Comma" xfId="1" builtinId="3"/>
    <cellStyle name="Normal" xfId="0" builtinId="0"/>
    <cellStyle name="Normal 2" xfId="2" xr:uid="{70866CB7-AFE8-4258-B366-0A8B05BC738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FCEA0-5A1E-453C-A405-8F80DC423ABE}">
  <dimension ref="B2:P8"/>
  <sheetViews>
    <sheetView tabSelected="1" zoomScale="85" zoomScaleNormal="85" workbookViewId="0">
      <selection activeCell="H13" sqref="H13"/>
    </sheetView>
  </sheetViews>
  <sheetFormatPr defaultRowHeight="15" x14ac:dyDescent="0.25"/>
  <cols>
    <col min="2" max="2" width="32.28515625" bestFit="1" customWidth="1"/>
    <col min="3" max="3" width="12" style="1" bestFit="1" customWidth="1"/>
    <col min="4" max="5" width="12" bestFit="1" customWidth="1"/>
    <col min="6" max="6" width="13.28515625" style="16" bestFit="1" customWidth="1"/>
    <col min="7" max="7" width="16.140625" bestFit="1" customWidth="1"/>
    <col min="8" max="8" width="21.28515625" bestFit="1" customWidth="1"/>
    <col min="9" max="9" width="19.28515625" bestFit="1" customWidth="1"/>
    <col min="10" max="10" width="11.5703125" style="1" bestFit="1" customWidth="1"/>
    <col min="11" max="12" width="10.28515625" bestFit="1" customWidth="1"/>
    <col min="13" max="13" width="27.28515625" bestFit="1" customWidth="1"/>
    <col min="14" max="14" width="16.140625" bestFit="1" customWidth="1"/>
    <col min="15" max="15" width="19" bestFit="1" customWidth="1"/>
    <col min="16" max="16" width="13.5703125" bestFit="1" customWidth="1"/>
  </cols>
  <sheetData>
    <row r="2" spans="2:16" ht="24" x14ac:dyDescent="0.25">
      <c r="B2" s="3" t="s">
        <v>1</v>
      </c>
      <c r="C2" s="2" t="s">
        <v>13</v>
      </c>
      <c r="D2" s="2" t="s">
        <v>3</v>
      </c>
      <c r="E2" s="2" t="s">
        <v>4</v>
      </c>
      <c r="F2" s="2" t="s">
        <v>18</v>
      </c>
      <c r="G2" s="2" t="s">
        <v>2</v>
      </c>
      <c r="H2" s="2" t="s">
        <v>5</v>
      </c>
      <c r="I2" s="2" t="s">
        <v>6</v>
      </c>
      <c r="J2" s="2" t="s">
        <v>0</v>
      </c>
      <c r="K2" s="4" t="s">
        <v>19</v>
      </c>
      <c r="L2" s="4" t="s">
        <v>20</v>
      </c>
      <c r="M2" s="4" t="s">
        <v>14</v>
      </c>
      <c r="N2" s="4" t="s">
        <v>15</v>
      </c>
      <c r="O2" s="4" t="s">
        <v>16</v>
      </c>
      <c r="P2" s="4" t="s">
        <v>17</v>
      </c>
    </row>
    <row r="3" spans="2:16" x14ac:dyDescent="0.25">
      <c r="B3" s="5" t="s">
        <v>7</v>
      </c>
      <c r="C3" s="6">
        <f>SUM(C4:C8)</f>
        <v>241499431</v>
      </c>
      <c r="D3" s="6">
        <f t="shared" ref="D3:F3" si="0">SUM(D4:D8)</f>
        <v>124324406</v>
      </c>
      <c r="E3" s="6">
        <f t="shared" si="0"/>
        <v>117154694</v>
      </c>
      <c r="F3" s="6">
        <f t="shared" si="0"/>
        <v>20331</v>
      </c>
      <c r="G3" s="10">
        <v>796096</v>
      </c>
      <c r="H3" s="11">
        <v>303.35000000000002</v>
      </c>
      <c r="I3" s="12">
        <v>6.3</v>
      </c>
      <c r="J3" s="13">
        <v>38318107</v>
      </c>
      <c r="K3" s="9">
        <v>24263721</v>
      </c>
      <c r="L3" s="9">
        <v>14054386</v>
      </c>
      <c r="M3" s="8">
        <v>126438</v>
      </c>
      <c r="N3" s="8">
        <v>36745904</v>
      </c>
      <c r="O3" s="9">
        <v>530918</v>
      </c>
      <c r="P3" s="9">
        <v>927160</v>
      </c>
    </row>
    <row r="4" spans="2:16" x14ac:dyDescent="0.25">
      <c r="B4" s="5" t="s">
        <v>8</v>
      </c>
      <c r="C4" s="6">
        <f>SUM(D4:F4)</f>
        <v>40856097</v>
      </c>
      <c r="D4" s="9">
        <v>20845747</v>
      </c>
      <c r="E4" s="9">
        <v>20009233</v>
      </c>
      <c r="F4" s="9">
        <v>1117</v>
      </c>
      <c r="G4" s="10">
        <v>101741</v>
      </c>
      <c r="H4" s="11">
        <v>401.57</v>
      </c>
      <c r="I4" s="12">
        <v>6.9</v>
      </c>
      <c r="J4" s="8">
        <v>5746412</v>
      </c>
      <c r="K4" s="8">
        <v>4806420</v>
      </c>
      <c r="L4" s="8">
        <v>939992</v>
      </c>
      <c r="M4" s="8">
        <v>5899</v>
      </c>
      <c r="N4" s="8">
        <v>5542238</v>
      </c>
      <c r="O4" s="9">
        <v>104267</v>
      </c>
      <c r="P4" s="9">
        <v>186798</v>
      </c>
    </row>
    <row r="5" spans="2:16" x14ac:dyDescent="0.25">
      <c r="B5" s="5" t="s">
        <v>9</v>
      </c>
      <c r="C5" s="6">
        <f t="shared" ref="C5:C8" si="1">SUM(D5:F5)</f>
        <v>127688922</v>
      </c>
      <c r="D5" s="9">
        <v>65448376</v>
      </c>
      <c r="E5" s="9">
        <v>62226589</v>
      </c>
      <c r="F5" s="9">
        <v>13957</v>
      </c>
      <c r="G5" s="10">
        <v>205345</v>
      </c>
      <c r="H5" s="11">
        <v>621.83000000000004</v>
      </c>
      <c r="I5" s="12">
        <v>6.4</v>
      </c>
      <c r="J5" s="9">
        <v>22119690</v>
      </c>
      <c r="K5" s="9">
        <v>13383270</v>
      </c>
      <c r="L5" s="9">
        <v>8736420</v>
      </c>
      <c r="M5" s="8">
        <v>26778</v>
      </c>
      <c r="N5" s="8">
        <v>21460198</v>
      </c>
      <c r="O5" s="9">
        <v>104267</v>
      </c>
      <c r="P5" s="9">
        <v>528470</v>
      </c>
    </row>
    <row r="6" spans="2:16" x14ac:dyDescent="0.25">
      <c r="B6" s="7" t="s">
        <v>10</v>
      </c>
      <c r="C6" s="6">
        <f t="shared" si="1"/>
        <v>55696147</v>
      </c>
      <c r="D6" s="9">
        <v>29014424</v>
      </c>
      <c r="E6" s="14">
        <v>26677501</v>
      </c>
      <c r="F6" s="9">
        <v>4222</v>
      </c>
      <c r="G6" s="10">
        <v>140914</v>
      </c>
      <c r="H6" s="11">
        <v>395.25</v>
      </c>
      <c r="I6" s="12">
        <v>5.6</v>
      </c>
      <c r="J6" s="9">
        <v>7730239</v>
      </c>
      <c r="K6" s="9">
        <v>4192513</v>
      </c>
      <c r="L6" s="9">
        <v>3537726</v>
      </c>
      <c r="M6" s="8">
        <v>74882</v>
      </c>
      <c r="N6" s="8">
        <v>7204699</v>
      </c>
      <c r="O6" s="9">
        <v>313738</v>
      </c>
      <c r="P6" s="9">
        <v>136920</v>
      </c>
    </row>
    <row r="7" spans="2:16" x14ac:dyDescent="0.25">
      <c r="B7" s="5" t="s">
        <v>11</v>
      </c>
      <c r="C7" s="6">
        <f t="shared" si="1"/>
        <v>14894402</v>
      </c>
      <c r="D7" s="9">
        <v>7768166</v>
      </c>
      <c r="E7" s="9">
        <v>7125471</v>
      </c>
      <c r="F7" s="8">
        <v>765</v>
      </c>
      <c r="G7" s="10">
        <v>347190</v>
      </c>
      <c r="H7" s="11">
        <v>42.9</v>
      </c>
      <c r="I7" s="12">
        <v>6.4</v>
      </c>
      <c r="J7" s="8">
        <v>2304869</v>
      </c>
      <c r="K7" s="8">
        <v>1636399</v>
      </c>
      <c r="L7" s="8">
        <v>668470</v>
      </c>
      <c r="M7" s="8">
        <v>2333</v>
      </c>
      <c r="N7" s="8">
        <v>2156191</v>
      </c>
      <c r="O7" s="9">
        <v>98723</v>
      </c>
      <c r="P7" s="9">
        <v>47622</v>
      </c>
    </row>
    <row r="8" spans="2:16" x14ac:dyDescent="0.25">
      <c r="B8" s="5" t="s">
        <v>12</v>
      </c>
      <c r="C8" s="6">
        <f t="shared" si="1"/>
        <v>2363863</v>
      </c>
      <c r="D8" s="15">
        <v>1247693</v>
      </c>
      <c r="E8" s="10">
        <v>1115900</v>
      </c>
      <c r="F8" s="8">
        <v>270</v>
      </c>
      <c r="G8" s="10">
        <v>906</v>
      </c>
      <c r="H8" s="11">
        <v>2609.12</v>
      </c>
      <c r="I8" s="12">
        <v>5.7</v>
      </c>
      <c r="J8" s="8">
        <v>416897</v>
      </c>
      <c r="K8" s="8">
        <v>245119</v>
      </c>
      <c r="L8" s="8">
        <v>171778</v>
      </c>
      <c r="M8" s="8">
        <v>16546</v>
      </c>
      <c r="N8" s="8">
        <v>382578</v>
      </c>
      <c r="O8" s="8">
        <v>2713</v>
      </c>
      <c r="P8" s="8">
        <v>27350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Imran Khan</dc:creator>
  <cp:lastModifiedBy>Syed Wajih</cp:lastModifiedBy>
  <dcterms:created xsi:type="dcterms:W3CDTF">2015-06-05T18:17:20Z</dcterms:created>
  <dcterms:modified xsi:type="dcterms:W3CDTF">2026-03-25T04:54:11Z</dcterms:modified>
</cp:coreProperties>
</file>