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Sindh\"/>
    </mc:Choice>
  </mc:AlternateContent>
  <xr:revisionPtr revIDLastSave="0" documentId="13_ncr:1_{EB8C1CC5-17A7-4184-92D3-D787D46BE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dh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E22" i="6"/>
  <c r="D22" i="6"/>
  <c r="C22" i="6"/>
  <c r="E18" i="6"/>
  <c r="D18" i="6"/>
  <c r="D17" i="6" s="1"/>
  <c r="C18" i="6"/>
  <c r="C17" i="6" s="1"/>
  <c r="E17" i="6" l="1"/>
</calcChain>
</file>

<file path=xl/sharedStrings.xml><?xml version="1.0" encoding="utf-8"?>
<sst xmlns="http://schemas.openxmlformats.org/spreadsheetml/2006/main" count="111" uniqueCount="73">
  <si>
    <t>Description</t>
  </si>
  <si>
    <t>%</t>
  </si>
  <si>
    <t>Semi Pakka</t>
  </si>
  <si>
    <t>Kacha</t>
  </si>
  <si>
    <t>Residential</t>
  </si>
  <si>
    <t>Economic</t>
  </si>
  <si>
    <t>Residential &amp; Economic</t>
  </si>
  <si>
    <t>Normal Residential:</t>
  </si>
  <si>
    <t>1-3 Story Residential Buildings</t>
  </si>
  <si>
    <t>Normal Economic:</t>
  </si>
  <si>
    <t>1-3 Story Economic Activity Buildings</t>
  </si>
  <si>
    <t>Normal Economic + Residential:</t>
  </si>
  <si>
    <t>1-3 Story Multi-Purpose Buildings</t>
  </si>
  <si>
    <t>Multistory Residential:</t>
  </si>
  <si>
    <t>Multistory Economic:</t>
  </si>
  <si>
    <t>Multistory Economic + Residential:</t>
  </si>
  <si>
    <t>More than 3 Floors Multi-Purpose Buildings</t>
  </si>
  <si>
    <t>Meaning</t>
  </si>
  <si>
    <t>Jughi/Jhompri/Tent</t>
  </si>
  <si>
    <t>Under Construction</t>
  </si>
  <si>
    <t>Types of Structures by Rural/Urban</t>
  </si>
  <si>
    <t>Types of Structures</t>
  </si>
  <si>
    <t>Urban</t>
  </si>
  <si>
    <t>Rural</t>
  </si>
  <si>
    <t>Total</t>
  </si>
  <si>
    <t>All Structures</t>
  </si>
  <si>
    <t>High Rise / Multi-Story Structure</t>
  </si>
  <si>
    <t>Normal Structures</t>
  </si>
  <si>
    <t>Others</t>
  </si>
  <si>
    <t>Brick Masonry</t>
  </si>
  <si>
    <t>Block Masonry</t>
  </si>
  <si>
    <t>Stone Masonry</t>
  </si>
  <si>
    <t>Timber</t>
  </si>
  <si>
    <t>Adobe</t>
  </si>
  <si>
    <t>Pakka House</t>
  </si>
  <si>
    <t>Contruction material used for walls</t>
  </si>
  <si>
    <t>Backed Bricks/Blocks /Stones</t>
  </si>
  <si>
    <t>Type</t>
  </si>
  <si>
    <t>Unbaked Bricks/Mud</t>
  </si>
  <si>
    <t>Wood/Bamboo</t>
  </si>
  <si>
    <t>Playwood/Cardboard</t>
  </si>
  <si>
    <t>Pre-Fab</t>
  </si>
  <si>
    <t>Contruction material used for roofs</t>
  </si>
  <si>
    <t>RRC/RBC</t>
  </si>
  <si>
    <t>Cement/Iron Sheet</t>
  </si>
  <si>
    <t>Garder/T-Iron</t>
  </si>
  <si>
    <t>Pre Fab</t>
  </si>
  <si>
    <t>All strcutures with 4 and above floors</t>
  </si>
  <si>
    <t>All strcutures with 4 and above floors with economic activity building</t>
  </si>
  <si>
    <t>Jughi/Jhompri/Tent/Cave</t>
  </si>
  <si>
    <t>Total Str</t>
  </si>
  <si>
    <t>Dringking Water</t>
  </si>
  <si>
    <t>Inside</t>
  </si>
  <si>
    <t>Outside</t>
  </si>
  <si>
    <t>Tape water</t>
  </si>
  <si>
    <t>Motor/Hand Pump (Bore Hole)</t>
  </si>
  <si>
    <t>Protected Well</t>
  </si>
  <si>
    <t>Un-protected Well</t>
  </si>
  <si>
    <t>Other</t>
  </si>
  <si>
    <t>Bottled Water</t>
  </si>
  <si>
    <t>Spring</t>
  </si>
  <si>
    <t>Canal/River/Pond</t>
  </si>
  <si>
    <t>Filtration Plant</t>
  </si>
  <si>
    <t>Tanker/Water Bearer</t>
  </si>
  <si>
    <t>Sindh</t>
  </si>
  <si>
    <t>Population</t>
  </si>
  <si>
    <t>Male</t>
  </si>
  <si>
    <t>Female</t>
  </si>
  <si>
    <t>Area</t>
  </si>
  <si>
    <t>DENSITY /SQ.K.M</t>
  </si>
  <si>
    <t>AVR H.H SIZE</t>
  </si>
  <si>
    <t>Province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</si>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</sst>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>
      <alignment vertical="top"/>
    </xf>
  </cellStyleXfs>
  <cellXfs count="23">
    <xf numFmtId="0" fontId="0" fillId="0" borderId="0" xfId="0"/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left"/>
    </xf>
    <xf numFmtId="2" fontId="0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2" borderId="0" xfId="1" applyFont="1" applyAlignment="1">
      <alignment horizontal="center" vertical="center"/>
    </xf>
    <xf numFmtId="164" fontId="0" fillId="0" borderId="0" xfId="0" applyNumberFormat="1"/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0" fillId="0" borderId="0" xfId="0" applyNumberFormat="1"/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E5F6-2A6B-4F1C-91CF-D7F6075B5819}">
  <dimension ref="B2:K110"/>
  <sheetViews>
    <sheetView tabSelected="1" workbookViewId="0">
      <selection activeCell="G4" sqref="G4"/>
    </sheetView>
  </sheetViews>
  <sheetFormatPr defaultRowHeight="15" x14ac:dyDescent="0.25"/>
  <cols>
    <col min="2" max="2" width="32.140625" customWidth="1"/>
    <col min="3" max="3" width="40.28515625" bestFit="1" customWidth="1"/>
    <col min="4" max="4" width="10.5703125" bestFit="1" customWidth="1"/>
    <col min="5" max="5" width="14.42578125" bestFit="1" customWidth="1"/>
    <col min="6" max="6" width="10.5703125" bestFit="1" customWidth="1"/>
    <col min="7" max="7" width="22.85546875" style="4" bestFit="1" customWidth="1"/>
    <col min="8" max="8" width="16.42578125" bestFit="1" customWidth="1"/>
    <col min="9" max="9" width="12.28515625" bestFit="1" customWidth="1"/>
    <col min="10" max="10" width="8" bestFit="1" customWidth="1"/>
    <col min="11" max="11" width="7.85546875" bestFit="1" customWidth="1"/>
  </cols>
  <sheetData>
    <row r="2" spans="2:10" x14ac:dyDescent="0.25">
      <c r="B2" s="14" t="s">
        <v>71</v>
      </c>
      <c r="C2" s="14" t="s">
        <v>65</v>
      </c>
      <c r="D2" s="14" t="s">
        <v>66</v>
      </c>
      <c r="E2" s="14" t="s">
        <v>67</v>
      </c>
      <c r="F2" s="14" t="s">
        <v>72</v>
      </c>
      <c r="G2" s="14" t="s">
        <v>24</v>
      </c>
      <c r="H2" s="14" t="s">
        <v>68</v>
      </c>
      <c r="I2" s="14" t="s">
        <v>69</v>
      </c>
      <c r="J2" s="14" t="s">
        <v>70</v>
      </c>
    </row>
    <row r="3" spans="2:10" x14ac:dyDescent="0.25">
      <c r="B3" t="s">
        <v>64</v>
      </c>
      <c r="C3" t="s">
        <v>65</v>
      </c>
      <c r="D3" s="22">
        <v>29014424</v>
      </c>
      <c r="E3" s="19">
        <v>26677501</v>
      </c>
      <c r="F3" s="22">
        <v>4222</v>
      </c>
      <c r="G3" s="19">
        <f>SUM(D3:F3)</f>
        <v>55696147</v>
      </c>
      <c r="H3">
        <v>140914</v>
      </c>
      <c r="I3" s="17">
        <v>5141.890090264249</v>
      </c>
      <c r="J3" s="3">
        <v>5.549999999999998</v>
      </c>
    </row>
    <row r="5" spans="2:10" x14ac:dyDescent="0.25">
      <c r="B5" s="18" t="s">
        <v>0</v>
      </c>
      <c r="C5" s="18" t="s">
        <v>17</v>
      </c>
      <c r="D5" s="18" t="s">
        <v>1</v>
      </c>
    </row>
    <row r="6" spans="2:10" x14ac:dyDescent="0.25">
      <c r="B6" t="s">
        <v>7</v>
      </c>
      <c r="C6" t="s">
        <v>8</v>
      </c>
      <c r="D6" s="3">
        <v>85.54</v>
      </c>
    </row>
    <row r="7" spans="2:10" x14ac:dyDescent="0.25">
      <c r="B7" t="s">
        <v>9</v>
      </c>
      <c r="C7" t="s">
        <v>10</v>
      </c>
      <c r="D7" s="3">
        <v>11.46</v>
      </c>
    </row>
    <row r="8" spans="2:10" x14ac:dyDescent="0.25">
      <c r="B8" t="s">
        <v>11</v>
      </c>
      <c r="C8" t="s">
        <v>12</v>
      </c>
      <c r="D8" s="3">
        <v>2.99</v>
      </c>
    </row>
    <row r="9" spans="2:10" x14ac:dyDescent="0.25">
      <c r="B9" t="s">
        <v>13</v>
      </c>
      <c r="C9" t="s">
        <v>47</v>
      </c>
      <c r="D9" s="3">
        <v>64.62</v>
      </c>
    </row>
    <row r="10" spans="2:10" ht="30" x14ac:dyDescent="0.25">
      <c r="B10" s="7" t="s">
        <v>14</v>
      </c>
      <c r="C10" s="9" t="s">
        <v>48</v>
      </c>
      <c r="D10" s="3">
        <v>2.42</v>
      </c>
    </row>
    <row r="11" spans="2:10" x14ac:dyDescent="0.25">
      <c r="B11" t="s">
        <v>15</v>
      </c>
      <c r="C11" t="s">
        <v>16</v>
      </c>
      <c r="D11" s="3">
        <v>32.96</v>
      </c>
    </row>
    <row r="12" spans="2:10" x14ac:dyDescent="0.25">
      <c r="B12" t="s">
        <v>49</v>
      </c>
      <c r="D12" s="3">
        <v>4.0599999999999996</v>
      </c>
    </row>
    <row r="13" spans="2:10" x14ac:dyDescent="0.25">
      <c r="B13" t="s">
        <v>19</v>
      </c>
      <c r="D13" s="3">
        <v>1.77</v>
      </c>
    </row>
    <row r="15" spans="2:10" x14ac:dyDescent="0.25">
      <c r="B15" s="10" t="s">
        <v>20</v>
      </c>
      <c r="C15" s="1"/>
    </row>
    <row r="16" spans="2:10" x14ac:dyDescent="0.25">
      <c r="B16" s="18" t="s">
        <v>21</v>
      </c>
      <c r="C16" s="18" t="s">
        <v>24</v>
      </c>
      <c r="D16" s="18" t="s">
        <v>23</v>
      </c>
      <c r="E16" s="18" t="s">
        <v>22</v>
      </c>
    </row>
    <row r="17" spans="2:5" x14ac:dyDescent="0.25">
      <c r="B17" t="s">
        <v>25</v>
      </c>
      <c r="C17" s="16">
        <f>SUM(C18,C22,C26:C27)</f>
        <v>7730239</v>
      </c>
      <c r="D17" s="16">
        <f>SUM(D18,D22,D26:D27)</f>
        <v>4192513</v>
      </c>
      <c r="E17" s="16">
        <f>SUM(E18,E22,E26:E27)</f>
        <v>3537726</v>
      </c>
    </row>
    <row r="18" spans="2:5" x14ac:dyDescent="0.25">
      <c r="B18" s="18" t="s">
        <v>26</v>
      </c>
      <c r="C18" s="18">
        <f>SUM(C19:C21)</f>
        <v>74882</v>
      </c>
      <c r="D18" s="18">
        <f t="shared" ref="D18:E18" si="0">SUM(D19:D21)</f>
        <v>1843</v>
      </c>
      <c r="E18" s="18">
        <f t="shared" si="0"/>
        <v>73039</v>
      </c>
    </row>
    <row r="19" spans="2:5" x14ac:dyDescent="0.25">
      <c r="B19" t="s">
        <v>4</v>
      </c>
      <c r="C19" s="12">
        <v>48389</v>
      </c>
      <c r="D19" s="12">
        <v>1350</v>
      </c>
      <c r="E19" s="12">
        <v>47039</v>
      </c>
    </row>
    <row r="20" spans="2:5" x14ac:dyDescent="0.25">
      <c r="B20" t="s">
        <v>5</v>
      </c>
      <c r="C20" s="12">
        <v>1815</v>
      </c>
      <c r="D20" s="3">
        <v>112</v>
      </c>
      <c r="E20" s="12">
        <v>1703</v>
      </c>
    </row>
    <row r="21" spans="2:5" x14ac:dyDescent="0.25">
      <c r="B21" t="s">
        <v>6</v>
      </c>
      <c r="C21" s="12">
        <v>24678</v>
      </c>
      <c r="D21" s="2">
        <v>381</v>
      </c>
      <c r="E21" s="12">
        <v>24297</v>
      </c>
    </row>
    <row r="22" spans="2:5" x14ac:dyDescent="0.25">
      <c r="B22" s="18" t="s">
        <v>27</v>
      </c>
      <c r="C22" s="18">
        <f>SUM(C23:C25)</f>
        <v>7204699</v>
      </c>
      <c r="D22" s="18">
        <f>SUM(D23:D25)</f>
        <v>3868616</v>
      </c>
      <c r="E22" s="18">
        <f>SUM(E23:E25)</f>
        <v>3336083</v>
      </c>
    </row>
    <row r="23" spans="2:5" x14ac:dyDescent="0.25">
      <c r="B23" t="s">
        <v>4</v>
      </c>
      <c r="C23" s="12">
        <v>6163126</v>
      </c>
      <c r="D23" s="12">
        <v>3420253</v>
      </c>
      <c r="E23" s="12">
        <v>2742873</v>
      </c>
    </row>
    <row r="24" spans="2:5" x14ac:dyDescent="0.25">
      <c r="B24" t="s">
        <v>5</v>
      </c>
      <c r="C24" s="12">
        <v>825884</v>
      </c>
      <c r="D24" s="12">
        <v>412143</v>
      </c>
      <c r="E24" s="12">
        <v>413741</v>
      </c>
    </row>
    <row r="25" spans="2:5" x14ac:dyDescent="0.25">
      <c r="B25" t="s">
        <v>6</v>
      </c>
      <c r="C25" s="12">
        <v>215689</v>
      </c>
      <c r="D25" s="12">
        <v>36220</v>
      </c>
      <c r="E25" s="12">
        <v>179469</v>
      </c>
    </row>
    <row r="26" spans="2:5" x14ac:dyDescent="0.25">
      <c r="B26" t="s">
        <v>18</v>
      </c>
      <c r="C26" s="12">
        <v>313738</v>
      </c>
      <c r="D26" s="12">
        <v>268371</v>
      </c>
      <c r="E26" s="12">
        <v>45367</v>
      </c>
    </row>
    <row r="27" spans="2:5" x14ac:dyDescent="0.25">
      <c r="B27" t="s">
        <v>19</v>
      </c>
      <c r="C27" s="12">
        <v>136920</v>
      </c>
      <c r="D27" s="12">
        <v>53683</v>
      </c>
      <c r="E27" s="12">
        <v>83237</v>
      </c>
    </row>
    <row r="30" spans="2:5" x14ac:dyDescent="0.25">
      <c r="B30" s="15" t="s">
        <v>0</v>
      </c>
      <c r="C30" s="15" t="s">
        <v>1</v>
      </c>
    </row>
    <row r="31" spans="2:5" x14ac:dyDescent="0.25">
      <c r="B31" s="5" t="s">
        <v>34</v>
      </c>
      <c r="C31" s="3">
        <v>57.69</v>
      </c>
    </row>
    <row r="32" spans="2:5" x14ac:dyDescent="0.25">
      <c r="B32" s="4" t="s">
        <v>23</v>
      </c>
      <c r="C32" s="3">
        <v>27.25</v>
      </c>
    </row>
    <row r="33" spans="2:8" x14ac:dyDescent="0.25">
      <c r="B33" s="4" t="s">
        <v>22</v>
      </c>
      <c r="C33" s="3">
        <v>85.62</v>
      </c>
    </row>
    <row r="34" spans="2:8" x14ac:dyDescent="0.25">
      <c r="B34" s="5" t="s">
        <v>2</v>
      </c>
      <c r="C34" s="3">
        <v>9.19</v>
      </c>
    </row>
    <row r="35" spans="2:8" x14ac:dyDescent="0.25">
      <c r="B35" s="4" t="s">
        <v>23</v>
      </c>
      <c r="C35" s="3">
        <v>11.74</v>
      </c>
    </row>
    <row r="36" spans="2:8" x14ac:dyDescent="0.25">
      <c r="B36" s="4" t="s">
        <v>22</v>
      </c>
      <c r="C36" s="3">
        <v>6.86</v>
      </c>
    </row>
    <row r="37" spans="2:8" x14ac:dyDescent="0.25">
      <c r="B37" s="5" t="s">
        <v>3</v>
      </c>
      <c r="C37" s="3">
        <v>33.11</v>
      </c>
    </row>
    <row r="38" spans="2:8" x14ac:dyDescent="0.25">
      <c r="B38" s="4" t="s">
        <v>23</v>
      </c>
      <c r="C38" s="3">
        <v>61.01</v>
      </c>
    </row>
    <row r="39" spans="2:8" x14ac:dyDescent="0.25">
      <c r="B39" s="4" t="s">
        <v>22</v>
      </c>
      <c r="C39" s="3">
        <v>7.52</v>
      </c>
    </row>
    <row r="41" spans="2:8" x14ac:dyDescent="0.25">
      <c r="B41" s="15" t="s">
        <v>71</v>
      </c>
      <c r="C41" s="15" t="s">
        <v>29</v>
      </c>
      <c r="D41" s="15" t="s">
        <v>30</v>
      </c>
      <c r="E41" s="15" t="s">
        <v>31</v>
      </c>
      <c r="F41" s="15" t="s">
        <v>32</v>
      </c>
      <c r="G41" s="15" t="s">
        <v>33</v>
      </c>
      <c r="H41" s="15" t="s">
        <v>50</v>
      </c>
    </row>
    <row r="42" spans="2:8" x14ac:dyDescent="0.25">
      <c r="B42" t="s">
        <v>64</v>
      </c>
      <c r="C42" s="17">
        <v>20.350719919459092</v>
      </c>
      <c r="D42" s="17">
        <v>33.464974265543312</v>
      </c>
      <c r="E42" s="17">
        <v>3.765547639465757</v>
      </c>
      <c r="F42" s="17">
        <v>15.370845386634562</v>
      </c>
      <c r="G42" s="17">
        <v>27.047912788897268</v>
      </c>
      <c r="H42" s="16">
        <v>7730239</v>
      </c>
    </row>
    <row r="44" spans="2:8" x14ac:dyDescent="0.25">
      <c r="B44" s="15" t="s">
        <v>35</v>
      </c>
      <c r="C44" s="15" t="s">
        <v>37</v>
      </c>
      <c r="D44" s="15" t="s">
        <v>1</v>
      </c>
    </row>
    <row r="45" spans="2:8" x14ac:dyDescent="0.25">
      <c r="B45" s="8" t="s">
        <v>35</v>
      </c>
      <c r="C45" s="6" t="s">
        <v>36</v>
      </c>
      <c r="D45">
        <v>61.15</v>
      </c>
    </row>
    <row r="46" spans="2:8" x14ac:dyDescent="0.25">
      <c r="B46" s="8" t="s">
        <v>35</v>
      </c>
      <c r="C46" s="8" t="s">
        <v>38</v>
      </c>
      <c r="D46">
        <v>23.79</v>
      </c>
    </row>
    <row r="47" spans="2:8" x14ac:dyDescent="0.25">
      <c r="B47" s="8" t="s">
        <v>35</v>
      </c>
      <c r="C47" s="8" t="s">
        <v>39</v>
      </c>
      <c r="D47">
        <v>12.32</v>
      </c>
    </row>
    <row r="48" spans="2:8" x14ac:dyDescent="0.25">
      <c r="B48" s="8" t="s">
        <v>35</v>
      </c>
      <c r="C48" s="13" t="s">
        <v>40</v>
      </c>
      <c r="D48">
        <v>0.15</v>
      </c>
    </row>
    <row r="49" spans="2:11" x14ac:dyDescent="0.25">
      <c r="B49" s="8" t="s">
        <v>35</v>
      </c>
      <c r="C49" s="4" t="s">
        <v>41</v>
      </c>
      <c r="D49">
        <v>0.12</v>
      </c>
    </row>
    <row r="50" spans="2:11" x14ac:dyDescent="0.25">
      <c r="B50" s="8" t="s">
        <v>35</v>
      </c>
      <c r="C50" s="4" t="s">
        <v>28</v>
      </c>
      <c r="D50">
        <v>2.4700000000000002</v>
      </c>
    </row>
    <row r="52" spans="2:11" x14ac:dyDescent="0.25">
      <c r="B52" s="15" t="s">
        <v>42</v>
      </c>
      <c r="C52" s="15" t="s">
        <v>37</v>
      </c>
      <c r="D52" s="15" t="s">
        <v>1</v>
      </c>
    </row>
    <row r="53" spans="2:11" x14ac:dyDescent="0.25">
      <c r="B53" s="8" t="s">
        <v>42</v>
      </c>
      <c r="C53" s="6" t="s">
        <v>43</v>
      </c>
      <c r="D53">
        <v>29.9</v>
      </c>
      <c r="G53" s="8"/>
      <c r="H53" s="11"/>
      <c r="I53" s="11"/>
      <c r="J53" s="11"/>
      <c r="K53" s="11"/>
    </row>
    <row r="54" spans="2:11" x14ac:dyDescent="0.25">
      <c r="B54" s="8" t="s">
        <v>42</v>
      </c>
      <c r="C54" s="8" t="s">
        <v>44</v>
      </c>
      <c r="D54">
        <v>7.34</v>
      </c>
      <c r="G54" s="8"/>
      <c r="H54" s="11"/>
      <c r="I54" s="11"/>
      <c r="J54" s="11"/>
      <c r="K54" s="11"/>
    </row>
    <row r="55" spans="2:11" x14ac:dyDescent="0.25">
      <c r="B55" s="8" t="s">
        <v>42</v>
      </c>
      <c r="C55" s="8" t="s">
        <v>45</v>
      </c>
      <c r="D55">
        <v>26.16</v>
      </c>
      <c r="G55" s="8"/>
      <c r="H55" s="11"/>
      <c r="I55" s="11"/>
      <c r="J55" s="11"/>
      <c r="K55" s="11"/>
    </row>
    <row r="56" spans="2:11" x14ac:dyDescent="0.25">
      <c r="B56" s="8" t="s">
        <v>42</v>
      </c>
      <c r="C56" s="8" t="s">
        <v>39</v>
      </c>
      <c r="D56">
        <v>33.450000000000003</v>
      </c>
      <c r="G56" s="8"/>
      <c r="H56" s="11"/>
      <c r="I56" s="11"/>
      <c r="J56" s="11"/>
      <c r="K56" s="11"/>
    </row>
    <row r="57" spans="2:11" x14ac:dyDescent="0.25">
      <c r="B57" s="8" t="s">
        <v>42</v>
      </c>
      <c r="C57" s="4" t="s">
        <v>46</v>
      </c>
      <c r="D57">
        <v>0.55000000000000004</v>
      </c>
      <c r="G57" s="8"/>
      <c r="H57" s="11"/>
      <c r="I57" s="11"/>
      <c r="J57" s="11"/>
      <c r="K57" s="11"/>
    </row>
    <row r="58" spans="2:11" x14ac:dyDescent="0.25">
      <c r="B58" s="8" t="s">
        <v>42</v>
      </c>
      <c r="C58" s="4" t="s">
        <v>28</v>
      </c>
      <c r="D58">
        <v>2.6</v>
      </c>
      <c r="G58" s="8"/>
      <c r="H58" s="11"/>
      <c r="I58" s="11"/>
      <c r="J58" s="11"/>
      <c r="K58" s="11"/>
    </row>
    <row r="59" spans="2:11" x14ac:dyDescent="0.25">
      <c r="G59" s="8"/>
    </row>
    <row r="91" spans="2:3" x14ac:dyDescent="0.25">
      <c r="C91" s="3"/>
    </row>
    <row r="92" spans="2:3" x14ac:dyDescent="0.25">
      <c r="B92" s="21" t="s">
        <v>51</v>
      </c>
      <c r="C92" s="21"/>
    </row>
    <row r="93" spans="2:3" x14ac:dyDescent="0.25">
      <c r="B93" s="20" t="s">
        <v>52</v>
      </c>
      <c r="C93" s="20"/>
    </row>
    <row r="94" spans="2:3" x14ac:dyDescent="0.25">
      <c r="B94" t="s">
        <v>54</v>
      </c>
      <c r="C94" s="3">
        <v>58.5</v>
      </c>
    </row>
    <row r="95" spans="2:3" x14ac:dyDescent="0.25">
      <c r="B95" t="s">
        <v>55</v>
      </c>
      <c r="C95" s="3">
        <v>39.020000000000003</v>
      </c>
    </row>
    <row r="96" spans="2:3" x14ac:dyDescent="0.25">
      <c r="B96" t="s">
        <v>56</v>
      </c>
      <c r="C96" s="3">
        <v>0.53</v>
      </c>
    </row>
    <row r="97" spans="2:3" x14ac:dyDescent="0.25">
      <c r="B97" t="s">
        <v>57</v>
      </c>
      <c r="C97" s="3">
        <v>0.16</v>
      </c>
    </row>
    <row r="98" spans="2:3" x14ac:dyDescent="0.25">
      <c r="B98" t="s">
        <v>58</v>
      </c>
      <c r="C98" s="3">
        <v>1.79</v>
      </c>
    </row>
    <row r="100" spans="2:3" x14ac:dyDescent="0.25">
      <c r="B100" s="20" t="s">
        <v>53</v>
      </c>
      <c r="C100" s="20"/>
    </row>
    <row r="101" spans="2:3" x14ac:dyDescent="0.25">
      <c r="B101" t="s">
        <v>54</v>
      </c>
      <c r="C101" s="3">
        <v>23.95</v>
      </c>
    </row>
    <row r="102" spans="2:3" x14ac:dyDescent="0.25">
      <c r="B102" t="s">
        <v>55</v>
      </c>
      <c r="C102" s="3">
        <v>24.96</v>
      </c>
    </row>
    <row r="103" spans="2:3" x14ac:dyDescent="0.25">
      <c r="B103" t="s">
        <v>56</v>
      </c>
      <c r="C103" s="3">
        <v>2.91</v>
      </c>
    </row>
    <row r="104" spans="2:3" x14ac:dyDescent="0.25">
      <c r="B104" t="s">
        <v>57</v>
      </c>
      <c r="C104" s="3">
        <v>5.65</v>
      </c>
    </row>
    <row r="105" spans="2:3" x14ac:dyDescent="0.25">
      <c r="B105" t="s">
        <v>59</v>
      </c>
      <c r="C105" s="3">
        <v>10.41</v>
      </c>
    </row>
    <row r="106" spans="2:3" x14ac:dyDescent="0.25">
      <c r="B106" t="s">
        <v>60</v>
      </c>
      <c r="C106" s="3">
        <v>0.38</v>
      </c>
    </row>
    <row r="107" spans="2:3" x14ac:dyDescent="0.25">
      <c r="B107" t="s">
        <v>61</v>
      </c>
      <c r="C107" s="3">
        <v>8.2100000000000009</v>
      </c>
    </row>
    <row r="108" spans="2:3" x14ac:dyDescent="0.25">
      <c r="B108" t="s">
        <v>62</v>
      </c>
      <c r="C108" s="3">
        <v>13.47</v>
      </c>
    </row>
    <row r="109" spans="2:3" x14ac:dyDescent="0.25">
      <c r="B109" t="s">
        <v>63</v>
      </c>
      <c r="C109" s="3">
        <v>6.87</v>
      </c>
    </row>
    <row r="110" spans="2:3" x14ac:dyDescent="0.25">
      <c r="B110" t="s">
        <v>58</v>
      </c>
      <c r="C110" s="3">
        <v>3.17</v>
      </c>
    </row>
  </sheetData>
  <mergeCells count="3">
    <mergeCell ref="B100:C100"/>
    <mergeCell ref="B92:C92"/>
    <mergeCell ref="B93:C9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2026-03-13T07:27:13Z</dcterms:modified>
</cp:coreProperties>
</file>