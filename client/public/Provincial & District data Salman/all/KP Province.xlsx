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r Imran\Portal\Infra Portal\Data\Census Data\Provincial &amp; District data\KP\"/>
    </mc:Choice>
  </mc:AlternateContent>
  <xr:revisionPtr revIDLastSave="0" documentId="13_ncr:1_{E5231C9D-ABE0-4851-882B-A73A24ECE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E51" i="4"/>
  <c r="D51" i="4"/>
  <c r="C51" i="4"/>
  <c r="E47" i="4" l="1"/>
  <c r="D47" i="4"/>
  <c r="C47" i="4"/>
</calcChain>
</file>

<file path=xl/sharedStrings.xml><?xml version="1.0" encoding="utf-8"?>
<sst xmlns="http://schemas.openxmlformats.org/spreadsheetml/2006/main" count="140" uniqueCount="86">
  <si>
    <t>Description</t>
  </si>
  <si>
    <t>%</t>
  </si>
  <si>
    <t>Semi Pakka</t>
  </si>
  <si>
    <t>Kacha</t>
  </si>
  <si>
    <t>Residential</t>
  </si>
  <si>
    <t>Economic</t>
  </si>
  <si>
    <t>Residential &amp; Economic</t>
  </si>
  <si>
    <t>Normal Residential:</t>
  </si>
  <si>
    <t>1-3 Story Residential Buildings</t>
  </si>
  <si>
    <t>Normal Economic:</t>
  </si>
  <si>
    <t>1-3 Story Economic Activity Buildings</t>
  </si>
  <si>
    <t>Normal Economic + Residential:</t>
  </si>
  <si>
    <t>1-3 Story Multi-Purpose Buildings</t>
  </si>
  <si>
    <t>Multistory Residential:</t>
  </si>
  <si>
    <t>Multistory Economic:</t>
  </si>
  <si>
    <t>Multistory Economic + Residential:</t>
  </si>
  <si>
    <t>More than 3 Floors Multi-Purpose Buildings</t>
  </si>
  <si>
    <t>Meaning</t>
  </si>
  <si>
    <t>Jughi/Jhompri/Tent</t>
  </si>
  <si>
    <t>Under Construction</t>
  </si>
  <si>
    <t>Types of Structures by Rural/Urban</t>
  </si>
  <si>
    <t>Types of Structures</t>
  </si>
  <si>
    <t>Urban</t>
  </si>
  <si>
    <t>Rural</t>
  </si>
  <si>
    <t>Total</t>
  </si>
  <si>
    <t>All Structures</t>
  </si>
  <si>
    <t>High Rise / Multi-Story Structure</t>
  </si>
  <si>
    <t>Normal Structures</t>
  </si>
  <si>
    <t>Others</t>
  </si>
  <si>
    <t>Districts</t>
  </si>
  <si>
    <t>Brick Masonry</t>
  </si>
  <si>
    <t>Block Masonry</t>
  </si>
  <si>
    <t>Stone Masonry</t>
  </si>
  <si>
    <t>Timber</t>
  </si>
  <si>
    <t>Adobe</t>
  </si>
  <si>
    <t>Pakka House</t>
  </si>
  <si>
    <t>Contruction material used for walls</t>
  </si>
  <si>
    <t>Backed Bricks/Blocks /Stones</t>
  </si>
  <si>
    <t>Type</t>
  </si>
  <si>
    <t>Unbaked Bricks/Mud</t>
  </si>
  <si>
    <t>Wood/Bamboo</t>
  </si>
  <si>
    <t>Playwood/Cardboard</t>
  </si>
  <si>
    <t>Pre-Fab</t>
  </si>
  <si>
    <t>Contruction material used for roofs</t>
  </si>
  <si>
    <t>RRC/RBC</t>
  </si>
  <si>
    <t>Cement/Iron Sheet</t>
  </si>
  <si>
    <t>Garder/T-Iron</t>
  </si>
  <si>
    <t>Pre Fab</t>
  </si>
  <si>
    <t>All strcutures with 4 and above floors</t>
  </si>
  <si>
    <t>All strcutures with 4 and above floors with economic activity building</t>
  </si>
  <si>
    <t>Jughi/Jhompri/Tent/Cave</t>
  </si>
  <si>
    <t>Total Str</t>
  </si>
  <si>
    <t>Khyber Pakhtunkhwa</t>
  </si>
  <si>
    <t>Population</t>
  </si>
  <si>
    <t>Male</t>
  </si>
  <si>
    <t>Female</t>
  </si>
  <si>
    <t>Area</t>
  </si>
  <si>
    <t>DENSITY /SQ.K.M</t>
  </si>
  <si>
    <t>AVR H.H SIZE</t>
  </si>
  <si>
    <t>Primary Schools</t>
  </si>
  <si>
    <t>Middle Schools</t>
  </si>
  <si>
    <t>High Schools</t>
  </si>
  <si>
    <t>Higher Sec Schools</t>
  </si>
  <si>
    <t>Degree Colleges</t>
  </si>
  <si>
    <t>Hospitals</t>
  </si>
  <si>
    <t>Dispensaries</t>
  </si>
  <si>
    <t>MCH Centers</t>
  </si>
  <si>
    <t>Nos.</t>
  </si>
  <si>
    <t>Govt. Educational Facilities in KP</t>
  </si>
  <si>
    <t>Post Graduate</t>
  </si>
  <si>
    <t>Universities</t>
  </si>
  <si>
    <t>Comm &amp; Mgt</t>
  </si>
  <si>
    <t>Tech &amp; Vocational</t>
  </si>
  <si>
    <t>Abrst. of Health Inst. in KP</t>
  </si>
  <si>
    <t>Province</t>
  </si>
  <si>
    <t>In KP</t>
  </si>
  <si>
    <t>Transgendr</t>
  </si>
  <si>
    <t>Rural Health Centers (RHCs)</t>
  </si>
  <si>
    <t>TB Clinics</t>
  </si>
  <si>
    <t>Sub Health Centers (SHC)</t>
  </si>
  <si>
    <t>Basic Health Units (BHU)</t>
  </si>
  <si>
    <t>Leprosy Clinics</t>
  </si>
  <si>
    <t>Length (KM)</t>
  </si>
  <si>
    <t>High Type</t>
  </si>
  <si>
    <t>Low Type</t>
  </si>
  <si>
    <t>Roads in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</si>
</sst>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;\-0.00;\-"/>
    <numFmt numFmtId="166" formatCode="#,##0;\-#,##0;\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>
      <alignment vertical="top"/>
    </xf>
  </cellStyleXfs>
  <cellXfs count="38">
    <xf numFmtId="0" fontId="0" fillId="0" borderId="0" xfId="0"/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Font="1" applyAlignment="1">
      <alignment horizontal="left"/>
    </xf>
    <xf numFmtId="0" fontId="1" fillId="2" borderId="0" xfId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2" borderId="0" xfId="1" applyFont="1" applyAlignment="1">
      <alignment horizontal="center" vertical="center"/>
    </xf>
    <xf numFmtId="3" fontId="0" fillId="0" borderId="0" xfId="0" applyNumberFormat="1"/>
    <xf numFmtId="0" fontId="0" fillId="0" borderId="0" xfId="0" applyBorder="1" applyAlignment="1">
      <alignment horizontal="left" vertical="center"/>
    </xf>
    <xf numFmtId="0" fontId="1" fillId="3" borderId="0" xfId="0" applyFont="1" applyFill="1"/>
    <xf numFmtId="3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1" fillId="3" borderId="0" xfId="0" applyFont="1" applyFill="1" applyBorder="1"/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8D96-7192-40DE-BF5F-E7DB511D5274}">
  <dimension ref="B2:M88"/>
  <sheetViews>
    <sheetView tabSelected="1" zoomScale="80" zoomScaleNormal="80" workbookViewId="0">
      <selection activeCell="G25" sqref="G25"/>
    </sheetView>
  </sheetViews>
  <sheetFormatPr defaultRowHeight="15" x14ac:dyDescent="0.25"/>
  <cols>
    <col min="2" max="2" width="35.7109375" bestFit="1" customWidth="1"/>
    <col min="3" max="3" width="44.85546875" bestFit="1" customWidth="1"/>
    <col min="4" max="4" width="13.5703125" bestFit="1" customWidth="1"/>
    <col min="5" max="5" width="10.85546875" bestFit="1" customWidth="1"/>
    <col min="6" max="6" width="11" bestFit="1" customWidth="1"/>
    <col min="7" max="7" width="30.28515625" style="4" bestFit="1" customWidth="1"/>
    <col min="8" max="8" width="19.85546875" bestFit="1" customWidth="1"/>
    <col min="9" max="9" width="10.85546875" bestFit="1" customWidth="1"/>
    <col min="10" max="10" width="19.85546875" bestFit="1" customWidth="1"/>
    <col min="11" max="11" width="10.85546875" bestFit="1" customWidth="1"/>
    <col min="12" max="12" width="8.85546875" bestFit="1" customWidth="1"/>
    <col min="13" max="13" width="17.140625" bestFit="1" customWidth="1"/>
  </cols>
  <sheetData>
    <row r="2" spans="2:10" x14ac:dyDescent="0.25">
      <c r="B2" s="14" t="s">
        <v>74</v>
      </c>
      <c r="C2" s="14" t="s">
        <v>53</v>
      </c>
      <c r="D2" s="14" t="s">
        <v>54</v>
      </c>
      <c r="E2" s="14" t="s">
        <v>55</v>
      </c>
      <c r="F2" s="14" t="s">
        <v>76</v>
      </c>
      <c r="G2" s="14" t="s">
        <v>24</v>
      </c>
      <c r="H2" s="14" t="s">
        <v>56</v>
      </c>
      <c r="I2" s="14" t="s">
        <v>57</v>
      </c>
      <c r="J2" s="14" t="s">
        <v>58</v>
      </c>
    </row>
    <row r="3" spans="2:10" x14ac:dyDescent="0.25">
      <c r="B3" t="s">
        <v>52</v>
      </c>
      <c r="C3" s="3" t="s">
        <v>53</v>
      </c>
      <c r="D3" s="29">
        <v>20845747</v>
      </c>
      <c r="E3" s="29">
        <v>20009233</v>
      </c>
      <c r="F3" s="29">
        <v>1117</v>
      </c>
      <c r="G3" s="12">
        <f>SUM(D3:F3)</f>
        <v>40856097</v>
      </c>
      <c r="H3" s="23">
        <v>101741</v>
      </c>
      <c r="I3" s="23">
        <v>606.63049671431156</v>
      </c>
      <c r="J3" s="23">
        <v>7.0400000000000009</v>
      </c>
    </row>
    <row r="4" spans="2:10" x14ac:dyDescent="0.25">
      <c r="B4" s="4"/>
      <c r="G4"/>
    </row>
    <row r="5" spans="2:10" x14ac:dyDescent="0.25">
      <c r="B5" s="4"/>
      <c r="C5" s="4"/>
      <c r="G5"/>
    </row>
    <row r="6" spans="2:10" x14ac:dyDescent="0.25">
      <c r="B6" s="17" t="s">
        <v>68</v>
      </c>
      <c r="C6" s="17" t="s">
        <v>0</v>
      </c>
      <c r="D6" s="14" t="s">
        <v>67</v>
      </c>
      <c r="G6"/>
    </row>
    <row r="7" spans="2:10" x14ac:dyDescent="0.25">
      <c r="B7" s="4" t="s">
        <v>68</v>
      </c>
      <c r="C7" s="4" t="s">
        <v>59</v>
      </c>
      <c r="D7" s="25">
        <v>27997</v>
      </c>
      <c r="G7"/>
    </row>
    <row r="8" spans="2:10" x14ac:dyDescent="0.25">
      <c r="B8" s="4" t="s">
        <v>68</v>
      </c>
      <c r="C8" s="4" t="s">
        <v>60</v>
      </c>
      <c r="D8" s="25">
        <v>3594</v>
      </c>
      <c r="G8"/>
    </row>
    <row r="9" spans="2:10" x14ac:dyDescent="0.25">
      <c r="B9" s="4" t="s">
        <v>68</v>
      </c>
      <c r="C9" s="4" t="s">
        <v>61</v>
      </c>
      <c r="D9" s="25">
        <v>2719</v>
      </c>
      <c r="G9"/>
    </row>
    <row r="10" spans="2:10" x14ac:dyDescent="0.25">
      <c r="B10" s="4" t="s">
        <v>68</v>
      </c>
      <c r="C10" s="4" t="s">
        <v>62</v>
      </c>
      <c r="D10" s="11">
        <v>866</v>
      </c>
      <c r="G10"/>
    </row>
    <row r="11" spans="2:10" x14ac:dyDescent="0.25">
      <c r="B11" s="4" t="s">
        <v>68</v>
      </c>
      <c r="C11" s="4" t="s">
        <v>63</v>
      </c>
      <c r="D11" s="11">
        <v>304</v>
      </c>
      <c r="G11"/>
    </row>
    <row r="12" spans="2:10" x14ac:dyDescent="0.25">
      <c r="B12" s="4" t="s">
        <v>68</v>
      </c>
      <c r="C12" s="4" t="s">
        <v>69</v>
      </c>
      <c r="D12" s="11">
        <v>29</v>
      </c>
      <c r="G12"/>
    </row>
    <row r="13" spans="2:10" x14ac:dyDescent="0.25">
      <c r="B13" s="4" t="s">
        <v>68</v>
      </c>
      <c r="C13" s="4" t="s">
        <v>70</v>
      </c>
      <c r="D13" s="11">
        <v>28</v>
      </c>
      <c r="G13"/>
    </row>
    <row r="14" spans="2:10" x14ac:dyDescent="0.25">
      <c r="B14" s="4" t="s">
        <v>68</v>
      </c>
      <c r="C14" s="4" t="s">
        <v>71</v>
      </c>
      <c r="D14" s="11">
        <v>43</v>
      </c>
      <c r="G14"/>
    </row>
    <row r="15" spans="2:10" ht="15.75" x14ac:dyDescent="0.25">
      <c r="B15" s="4" t="s">
        <v>68</v>
      </c>
      <c r="C15" s="24" t="s">
        <v>72</v>
      </c>
      <c r="D15" s="26">
        <v>107</v>
      </c>
      <c r="G15"/>
    </row>
    <row r="16" spans="2:10" x14ac:dyDescent="0.25">
      <c r="B16" s="4"/>
      <c r="E16" s="4"/>
      <c r="G16"/>
    </row>
    <row r="17" spans="2:7" x14ac:dyDescent="0.25">
      <c r="G17"/>
    </row>
    <row r="18" spans="2:7" x14ac:dyDescent="0.25">
      <c r="B18" s="17" t="s">
        <v>73</v>
      </c>
      <c r="C18" s="17" t="s">
        <v>0</v>
      </c>
      <c r="D18" s="14" t="s">
        <v>75</v>
      </c>
      <c r="G18"/>
    </row>
    <row r="19" spans="2:7" x14ac:dyDescent="0.25">
      <c r="B19" s="30" t="s">
        <v>73</v>
      </c>
      <c r="C19" s="30" t="s">
        <v>64</v>
      </c>
      <c r="D19" s="32">
        <v>192</v>
      </c>
      <c r="G19"/>
    </row>
    <row r="20" spans="2:7" x14ac:dyDescent="0.25">
      <c r="B20" s="30" t="s">
        <v>73</v>
      </c>
      <c r="C20" s="30" t="s">
        <v>65</v>
      </c>
      <c r="D20" s="32">
        <v>962</v>
      </c>
      <c r="G20"/>
    </row>
    <row r="21" spans="2:7" x14ac:dyDescent="0.25">
      <c r="B21" s="30" t="s">
        <v>73</v>
      </c>
      <c r="C21" s="30" t="s">
        <v>77</v>
      </c>
      <c r="D21" s="32">
        <v>126</v>
      </c>
      <c r="G21"/>
    </row>
    <row r="22" spans="2:7" x14ac:dyDescent="0.25">
      <c r="B22" s="30" t="s">
        <v>73</v>
      </c>
      <c r="C22" s="30" t="s">
        <v>78</v>
      </c>
      <c r="D22" s="33">
        <v>57</v>
      </c>
      <c r="G22"/>
    </row>
    <row r="23" spans="2:7" x14ac:dyDescent="0.25">
      <c r="B23" s="30" t="s">
        <v>73</v>
      </c>
      <c r="C23" s="30" t="s">
        <v>66</v>
      </c>
      <c r="D23" s="33">
        <v>156</v>
      </c>
      <c r="G23"/>
    </row>
    <row r="24" spans="2:7" x14ac:dyDescent="0.25">
      <c r="B24" s="30" t="s">
        <v>73</v>
      </c>
      <c r="C24" s="34" t="s">
        <v>79</v>
      </c>
      <c r="D24" s="33">
        <v>22</v>
      </c>
      <c r="G24"/>
    </row>
    <row r="25" spans="2:7" x14ac:dyDescent="0.25">
      <c r="B25" s="30" t="s">
        <v>73</v>
      </c>
      <c r="C25" s="30" t="s">
        <v>80</v>
      </c>
      <c r="D25" s="33">
        <v>936</v>
      </c>
      <c r="G25"/>
    </row>
    <row r="26" spans="2:7" x14ac:dyDescent="0.25">
      <c r="B26" s="30" t="s">
        <v>73</v>
      </c>
      <c r="C26" s="30" t="s">
        <v>81</v>
      </c>
      <c r="D26" s="33">
        <v>19</v>
      </c>
      <c r="G26"/>
    </row>
    <row r="27" spans="2:7" x14ac:dyDescent="0.25">
      <c r="B27" s="30"/>
      <c r="C27" s="30"/>
      <c r="D27" s="33"/>
      <c r="G27"/>
    </row>
    <row r="28" spans="2:7" x14ac:dyDescent="0.25">
      <c r="B28" s="24"/>
      <c r="C28" s="30"/>
      <c r="D28" s="2"/>
      <c r="G28"/>
    </row>
    <row r="29" spans="2:7" x14ac:dyDescent="0.25">
      <c r="B29" s="37" t="s">
        <v>85</v>
      </c>
      <c r="C29" s="37" t="s">
        <v>38</v>
      </c>
      <c r="D29" s="31" t="s">
        <v>82</v>
      </c>
      <c r="G29"/>
    </row>
    <row r="30" spans="2:7" x14ac:dyDescent="0.25">
      <c r="B30" s="30" t="s">
        <v>85</v>
      </c>
      <c r="C30" s="35" t="s">
        <v>83</v>
      </c>
      <c r="D30" s="36">
        <v>24888</v>
      </c>
      <c r="E30" s="36"/>
      <c r="G30"/>
    </row>
    <row r="31" spans="2:7" x14ac:dyDescent="0.25">
      <c r="B31" s="30" t="s">
        <v>85</v>
      </c>
      <c r="C31" s="35" t="s">
        <v>84</v>
      </c>
      <c r="D31" s="36">
        <v>6858</v>
      </c>
      <c r="E31" s="36"/>
      <c r="G31"/>
    </row>
    <row r="32" spans="2:7" x14ac:dyDescent="0.25">
      <c r="B32" s="30"/>
      <c r="C32" s="30"/>
      <c r="D32" s="33"/>
      <c r="E32" s="36"/>
      <c r="G32"/>
    </row>
    <row r="34" spans="2:5" x14ac:dyDescent="0.25">
      <c r="B34" s="6" t="s">
        <v>0</v>
      </c>
      <c r="C34" s="6" t="s">
        <v>17</v>
      </c>
      <c r="D34" s="6" t="s">
        <v>1</v>
      </c>
    </row>
    <row r="35" spans="2:5" x14ac:dyDescent="0.25">
      <c r="B35" t="s">
        <v>7</v>
      </c>
      <c r="C35" t="s">
        <v>8</v>
      </c>
      <c r="D35" s="3">
        <v>81.599999999999994</v>
      </c>
    </row>
    <row r="36" spans="2:5" x14ac:dyDescent="0.25">
      <c r="B36" t="s">
        <v>9</v>
      </c>
      <c r="C36" t="s">
        <v>10</v>
      </c>
      <c r="D36" s="2">
        <v>13.16</v>
      </c>
    </row>
    <row r="37" spans="2:5" x14ac:dyDescent="0.25">
      <c r="B37" t="s">
        <v>11</v>
      </c>
      <c r="C37" t="s">
        <v>12</v>
      </c>
      <c r="D37" s="2">
        <v>1.69</v>
      </c>
    </row>
    <row r="38" spans="2:5" x14ac:dyDescent="0.25">
      <c r="B38" t="s">
        <v>13</v>
      </c>
      <c r="C38" t="s">
        <v>48</v>
      </c>
      <c r="D38" s="2">
        <v>0.06</v>
      </c>
    </row>
    <row r="39" spans="2:5" ht="30" x14ac:dyDescent="0.25">
      <c r="B39" s="8" t="s">
        <v>14</v>
      </c>
      <c r="C39" s="10" t="s">
        <v>49</v>
      </c>
      <c r="D39" s="2">
        <v>0.02</v>
      </c>
    </row>
    <row r="40" spans="2:5" x14ac:dyDescent="0.25">
      <c r="B40" t="s">
        <v>15</v>
      </c>
      <c r="C40" t="s">
        <v>16</v>
      </c>
      <c r="D40" s="2">
        <v>0.02</v>
      </c>
    </row>
    <row r="41" spans="2:5" x14ac:dyDescent="0.25">
      <c r="B41" t="s">
        <v>50</v>
      </c>
      <c r="D41" s="2">
        <v>0.2</v>
      </c>
    </row>
    <row r="42" spans="2:5" x14ac:dyDescent="0.25">
      <c r="B42" t="s">
        <v>19</v>
      </c>
      <c r="D42" s="2">
        <v>3.25</v>
      </c>
    </row>
    <row r="44" spans="2:5" x14ac:dyDescent="0.25">
      <c r="B44" s="1" t="s">
        <v>20</v>
      </c>
      <c r="C44" s="1"/>
    </row>
    <row r="45" spans="2:5" x14ac:dyDescent="0.25">
      <c r="B45" s="28" t="s">
        <v>21</v>
      </c>
      <c r="C45" s="28" t="s">
        <v>24</v>
      </c>
      <c r="D45" s="28" t="s">
        <v>23</v>
      </c>
      <c r="E45" s="28" t="s">
        <v>22</v>
      </c>
    </row>
    <row r="46" spans="2:5" x14ac:dyDescent="0.25">
      <c r="B46" t="s">
        <v>25</v>
      </c>
      <c r="C46" s="2">
        <v>5746412</v>
      </c>
      <c r="D46" s="2">
        <v>4806420</v>
      </c>
      <c r="E46" s="2">
        <v>939992</v>
      </c>
    </row>
    <row r="47" spans="2:5" x14ac:dyDescent="0.25">
      <c r="B47" s="28" t="s">
        <v>26</v>
      </c>
      <c r="C47" s="28">
        <f>SUM(C48:C50)</f>
        <v>5899</v>
      </c>
      <c r="D47" s="28">
        <f>SUM(D48:D50)</f>
        <v>2313</v>
      </c>
      <c r="E47" s="28">
        <f>SUM(E48:E50)</f>
        <v>3586</v>
      </c>
    </row>
    <row r="48" spans="2:5" x14ac:dyDescent="0.25">
      <c r="B48" t="s">
        <v>4</v>
      </c>
      <c r="C48" s="16">
        <v>3391</v>
      </c>
      <c r="D48" s="16">
        <v>1485</v>
      </c>
      <c r="E48" s="16">
        <v>1906</v>
      </c>
    </row>
    <row r="49" spans="2:13" x14ac:dyDescent="0.25">
      <c r="B49" t="s">
        <v>5</v>
      </c>
      <c r="C49" s="16">
        <v>1191</v>
      </c>
      <c r="D49" s="2">
        <v>328</v>
      </c>
      <c r="E49" s="2">
        <v>863</v>
      </c>
    </row>
    <row r="50" spans="2:13" x14ac:dyDescent="0.25">
      <c r="B50" t="s">
        <v>6</v>
      </c>
      <c r="C50" s="16">
        <v>1317</v>
      </c>
      <c r="D50" s="2">
        <v>500</v>
      </c>
      <c r="E50" s="2">
        <v>817</v>
      </c>
    </row>
    <row r="51" spans="2:13" x14ac:dyDescent="0.25">
      <c r="B51" s="28" t="s">
        <v>27</v>
      </c>
      <c r="C51" s="28">
        <f>SUM(C52:C54)</f>
        <v>5542238</v>
      </c>
      <c r="D51" s="28">
        <f>SUM(D52:D54)</f>
        <v>4637533</v>
      </c>
      <c r="E51" s="28">
        <f>SUM(E52:E54)</f>
        <v>904705</v>
      </c>
    </row>
    <row r="52" spans="2:13" x14ac:dyDescent="0.25">
      <c r="B52" t="s">
        <v>4</v>
      </c>
      <c r="C52" s="12">
        <v>4689072</v>
      </c>
      <c r="D52" s="12">
        <v>3957410</v>
      </c>
      <c r="E52" s="12">
        <v>731662</v>
      </c>
      <c r="H52" s="4"/>
      <c r="I52" s="4"/>
      <c r="J52" s="4"/>
      <c r="K52" s="4"/>
      <c r="L52" s="4"/>
      <c r="M52" s="4"/>
    </row>
    <row r="53" spans="2:13" x14ac:dyDescent="0.25">
      <c r="B53" t="s">
        <v>5</v>
      </c>
      <c r="C53" s="12">
        <v>756175</v>
      </c>
      <c r="D53" s="12">
        <v>610853</v>
      </c>
      <c r="E53" s="12">
        <v>145322</v>
      </c>
      <c r="H53" s="4"/>
      <c r="I53" s="4"/>
      <c r="J53" s="4"/>
      <c r="K53" s="4"/>
      <c r="L53" s="4"/>
      <c r="M53" s="4"/>
    </row>
    <row r="54" spans="2:13" x14ac:dyDescent="0.25">
      <c r="B54" t="s">
        <v>6</v>
      </c>
      <c r="C54" s="12">
        <v>96991</v>
      </c>
      <c r="D54" s="12">
        <v>69270</v>
      </c>
      <c r="E54" s="12">
        <v>27721</v>
      </c>
      <c r="H54" s="4"/>
      <c r="I54" s="4"/>
      <c r="J54" s="4"/>
      <c r="K54" s="4"/>
      <c r="L54" s="4"/>
      <c r="M54" s="4"/>
    </row>
    <row r="55" spans="2:13" x14ac:dyDescent="0.25">
      <c r="B55" t="s">
        <v>18</v>
      </c>
      <c r="C55" s="16">
        <v>11477</v>
      </c>
      <c r="D55" s="16">
        <v>10637</v>
      </c>
      <c r="E55" s="2">
        <v>840</v>
      </c>
      <c r="H55" s="18"/>
      <c r="I55" s="19"/>
      <c r="J55" s="20"/>
      <c r="K55" s="18"/>
      <c r="L55" s="21"/>
      <c r="M55" s="22"/>
    </row>
    <row r="56" spans="2:13" x14ac:dyDescent="0.25">
      <c r="B56" t="s">
        <v>19</v>
      </c>
      <c r="C56" s="16">
        <v>186798</v>
      </c>
      <c r="D56" s="16">
        <v>155937</v>
      </c>
      <c r="E56" s="16">
        <v>30861</v>
      </c>
      <c r="H56" s="18"/>
      <c r="I56" s="19"/>
      <c r="J56" s="20"/>
      <c r="K56" s="18"/>
      <c r="L56" s="21"/>
      <c r="M56" s="22"/>
    </row>
    <row r="57" spans="2:13" x14ac:dyDescent="0.25">
      <c r="H57" s="18"/>
      <c r="I57" s="19"/>
      <c r="J57" s="20"/>
      <c r="K57" s="18"/>
      <c r="L57" s="21"/>
      <c r="M57" s="22"/>
    </row>
    <row r="58" spans="2:13" x14ac:dyDescent="0.25">
      <c r="H58" s="18"/>
      <c r="I58" s="19"/>
      <c r="J58" s="20"/>
      <c r="K58" s="18"/>
      <c r="L58" s="21"/>
      <c r="M58" s="22"/>
    </row>
    <row r="59" spans="2:13" x14ac:dyDescent="0.25">
      <c r="B59" s="15" t="s">
        <v>0</v>
      </c>
      <c r="C59" s="15" t="s">
        <v>1</v>
      </c>
      <c r="H59" s="18"/>
      <c r="I59" s="19"/>
      <c r="J59" s="20"/>
      <c r="K59" s="18"/>
      <c r="L59" s="21"/>
      <c r="M59" s="22"/>
    </row>
    <row r="60" spans="2:13" x14ac:dyDescent="0.25">
      <c r="B60" s="5" t="s">
        <v>35</v>
      </c>
      <c r="C60" s="3">
        <v>55.57</v>
      </c>
      <c r="H60" s="18"/>
      <c r="I60" s="19"/>
      <c r="J60" s="20"/>
      <c r="K60" s="18"/>
      <c r="L60" s="21"/>
      <c r="M60" s="22"/>
    </row>
    <row r="61" spans="2:13" x14ac:dyDescent="0.25">
      <c r="B61" s="4" t="s">
        <v>23</v>
      </c>
      <c r="C61" s="3">
        <v>50.35</v>
      </c>
      <c r="H61" s="18"/>
      <c r="I61" s="19"/>
      <c r="J61" s="20"/>
      <c r="K61" s="18"/>
      <c r="L61" s="21"/>
      <c r="M61" s="22"/>
    </row>
    <row r="62" spans="2:13" x14ac:dyDescent="0.25">
      <c r="B62" s="4" t="s">
        <v>22</v>
      </c>
      <c r="C62" s="3">
        <v>83.9</v>
      </c>
      <c r="H62" s="18"/>
      <c r="I62" s="19"/>
      <c r="J62" s="20"/>
      <c r="K62" s="18"/>
      <c r="L62" s="21"/>
      <c r="M62" s="22"/>
    </row>
    <row r="63" spans="2:13" x14ac:dyDescent="0.25">
      <c r="B63" s="5" t="s">
        <v>2</v>
      </c>
      <c r="C63" s="3">
        <v>19.579999999999998</v>
      </c>
      <c r="H63" s="18"/>
      <c r="I63" s="19"/>
      <c r="J63" s="20"/>
      <c r="K63" s="18"/>
      <c r="L63" s="21"/>
      <c r="M63" s="22"/>
    </row>
    <row r="64" spans="2:13" x14ac:dyDescent="0.25">
      <c r="B64" s="4" t="s">
        <v>23</v>
      </c>
      <c r="C64" s="3">
        <v>21.67</v>
      </c>
      <c r="H64" s="18"/>
      <c r="I64" s="19"/>
      <c r="J64" s="20"/>
      <c r="K64" s="18"/>
      <c r="L64" s="21"/>
      <c r="M64" s="22"/>
    </row>
    <row r="65" spans="2:13" x14ac:dyDescent="0.25">
      <c r="B65" s="4" t="s">
        <v>22</v>
      </c>
      <c r="C65" s="3">
        <v>8.23</v>
      </c>
      <c r="H65" s="18"/>
      <c r="I65" s="19"/>
      <c r="J65" s="20"/>
      <c r="K65" s="18"/>
      <c r="L65" s="21"/>
      <c r="M65" s="22"/>
    </row>
    <row r="66" spans="2:13" x14ac:dyDescent="0.25">
      <c r="B66" s="5" t="s">
        <v>3</v>
      </c>
      <c r="C66" s="3">
        <v>24.85</v>
      </c>
      <c r="H66" s="18"/>
      <c r="I66" s="19"/>
      <c r="J66" s="20"/>
      <c r="K66" s="18"/>
      <c r="L66" s="21"/>
      <c r="M66" s="22"/>
    </row>
    <row r="67" spans="2:13" x14ac:dyDescent="0.25">
      <c r="B67" s="4" t="s">
        <v>23</v>
      </c>
      <c r="C67" s="3">
        <v>27.98</v>
      </c>
      <c r="H67" s="18"/>
      <c r="I67" s="19"/>
      <c r="J67" s="20"/>
      <c r="K67" s="18"/>
      <c r="L67" s="21"/>
      <c r="M67" s="22"/>
    </row>
    <row r="68" spans="2:13" x14ac:dyDescent="0.25">
      <c r="B68" s="4" t="s">
        <v>22</v>
      </c>
      <c r="C68" s="3">
        <v>7.86</v>
      </c>
      <c r="H68" s="18"/>
      <c r="I68" s="19"/>
      <c r="J68" s="20"/>
      <c r="K68" s="18"/>
      <c r="L68" s="21"/>
      <c r="M68" s="22"/>
    </row>
    <row r="69" spans="2:13" x14ac:dyDescent="0.25">
      <c r="H69" s="18"/>
      <c r="I69" s="19"/>
      <c r="J69" s="20"/>
      <c r="K69" s="18"/>
      <c r="L69" s="21"/>
      <c r="M69" s="22"/>
    </row>
    <row r="70" spans="2:13" x14ac:dyDescent="0.25">
      <c r="B70" s="15" t="s">
        <v>29</v>
      </c>
      <c r="C70" s="15" t="s">
        <v>30</v>
      </c>
      <c r="D70" s="15" t="s">
        <v>31</v>
      </c>
      <c r="E70" s="15" t="s">
        <v>32</v>
      </c>
      <c r="F70" s="15" t="s">
        <v>33</v>
      </c>
      <c r="G70" s="15" t="s">
        <v>34</v>
      </c>
      <c r="H70" s="15" t="s">
        <v>51</v>
      </c>
      <c r="I70" s="19"/>
      <c r="J70" s="20"/>
      <c r="K70" s="18"/>
      <c r="L70" s="21"/>
      <c r="M70" s="22"/>
    </row>
    <row r="71" spans="2:13" x14ac:dyDescent="0.25">
      <c r="B71" t="s">
        <v>52</v>
      </c>
      <c r="C71" s="27">
        <v>20.65400454557302</v>
      </c>
      <c r="D71" s="27">
        <v>19.581477278389158</v>
      </c>
      <c r="E71" s="27">
        <v>18.062458013884036</v>
      </c>
      <c r="F71" s="27">
        <v>6.1238888246174055</v>
      </c>
      <c r="G71" s="27">
        <v>35.578171337536382</v>
      </c>
      <c r="H71" s="18">
        <v>3070968</v>
      </c>
      <c r="I71" s="18"/>
      <c r="J71" s="20"/>
      <c r="K71" s="18"/>
      <c r="L71" s="21"/>
      <c r="M71" s="22"/>
    </row>
    <row r="72" spans="2:13" x14ac:dyDescent="0.25">
      <c r="H72" s="18"/>
      <c r="I72" s="19"/>
      <c r="J72" s="20"/>
      <c r="K72" s="18"/>
      <c r="L72" s="21"/>
      <c r="M72" s="22"/>
    </row>
    <row r="73" spans="2:13" x14ac:dyDescent="0.25">
      <c r="H73" s="18"/>
      <c r="I73" s="19"/>
      <c r="J73" s="20"/>
      <c r="K73" s="18"/>
      <c r="L73" s="21"/>
      <c r="M73" s="22"/>
    </row>
    <row r="74" spans="2:13" x14ac:dyDescent="0.25">
      <c r="B74" s="15" t="s">
        <v>36</v>
      </c>
      <c r="C74" s="15" t="s">
        <v>38</v>
      </c>
      <c r="D74" s="15" t="s">
        <v>1</v>
      </c>
      <c r="H74" s="18"/>
      <c r="I74" s="19"/>
      <c r="J74" s="20"/>
      <c r="K74" s="18"/>
      <c r="L74" s="21"/>
      <c r="M74" s="22"/>
    </row>
    <row r="75" spans="2:13" x14ac:dyDescent="0.25">
      <c r="B75" s="9" t="s">
        <v>36</v>
      </c>
      <c r="C75" s="7" t="s">
        <v>37</v>
      </c>
      <c r="D75" s="3">
        <v>67.16</v>
      </c>
      <c r="H75" s="18"/>
      <c r="I75" s="19"/>
      <c r="J75" s="20"/>
      <c r="K75" s="18"/>
      <c r="L75" s="21"/>
      <c r="M75" s="22"/>
    </row>
    <row r="76" spans="2:13" x14ac:dyDescent="0.25">
      <c r="B76" s="9" t="s">
        <v>36</v>
      </c>
      <c r="C76" s="9" t="s">
        <v>39</v>
      </c>
      <c r="D76" s="3">
        <v>28.29</v>
      </c>
      <c r="H76" s="18"/>
      <c r="I76" s="19"/>
      <c r="J76" s="20"/>
      <c r="K76" s="18"/>
      <c r="L76" s="21"/>
      <c r="M76" s="22"/>
    </row>
    <row r="77" spans="2:13" x14ac:dyDescent="0.25">
      <c r="B77" s="9" t="s">
        <v>36</v>
      </c>
      <c r="C77" s="9" t="s">
        <v>40</v>
      </c>
      <c r="D77" s="3">
        <v>2.72</v>
      </c>
      <c r="H77" s="18"/>
      <c r="I77" s="19"/>
      <c r="J77" s="20"/>
      <c r="K77" s="18"/>
      <c r="L77" s="21"/>
      <c r="M77" s="22"/>
    </row>
    <row r="78" spans="2:13" x14ac:dyDescent="0.25">
      <c r="B78" s="9" t="s">
        <v>36</v>
      </c>
      <c r="C78" s="13" t="s">
        <v>41</v>
      </c>
      <c r="D78" s="3">
        <v>0.05</v>
      </c>
      <c r="H78" s="18"/>
      <c r="I78" s="19"/>
      <c r="J78" s="20"/>
      <c r="K78" s="18"/>
      <c r="L78" s="21"/>
      <c r="M78" s="22"/>
    </row>
    <row r="79" spans="2:13" x14ac:dyDescent="0.25">
      <c r="B79" s="9" t="s">
        <v>36</v>
      </c>
      <c r="C79" s="4" t="s">
        <v>42</v>
      </c>
      <c r="D79" s="3">
        <v>0.03</v>
      </c>
      <c r="H79" s="18"/>
      <c r="I79" s="19"/>
      <c r="J79" s="20"/>
      <c r="K79" s="18"/>
      <c r="L79" s="21"/>
      <c r="M79" s="22"/>
    </row>
    <row r="80" spans="2:13" x14ac:dyDescent="0.25">
      <c r="B80" s="9" t="s">
        <v>36</v>
      </c>
      <c r="C80" s="4" t="s">
        <v>28</v>
      </c>
      <c r="D80" s="3">
        <v>1.74</v>
      </c>
      <c r="H80" s="18"/>
      <c r="I80" s="19"/>
      <c r="J80" s="20"/>
      <c r="K80" s="18"/>
      <c r="L80" s="21"/>
      <c r="M80" s="22"/>
    </row>
    <row r="81" spans="2:13" x14ac:dyDescent="0.25">
      <c r="D81" s="3"/>
      <c r="H81" s="18"/>
      <c r="I81" s="19"/>
      <c r="J81" s="20"/>
      <c r="K81" s="18"/>
      <c r="L81" s="21"/>
      <c r="M81" s="22"/>
    </row>
    <row r="82" spans="2:13" x14ac:dyDescent="0.25">
      <c r="B82" s="15" t="s">
        <v>43</v>
      </c>
      <c r="C82" s="15" t="s">
        <v>38</v>
      </c>
      <c r="D82" s="15" t="s">
        <v>1</v>
      </c>
      <c r="H82" s="18"/>
      <c r="I82" s="19"/>
      <c r="J82" s="20"/>
      <c r="K82" s="18"/>
      <c r="L82" s="21"/>
      <c r="M82" s="22"/>
    </row>
    <row r="83" spans="2:13" x14ac:dyDescent="0.25">
      <c r="B83" s="9" t="s">
        <v>43</v>
      </c>
      <c r="C83" s="7" t="s">
        <v>44</v>
      </c>
      <c r="D83" s="3">
        <v>35.159999999999997</v>
      </c>
      <c r="H83" s="18"/>
      <c r="I83" s="19"/>
      <c r="J83" s="20"/>
      <c r="K83" s="18"/>
      <c r="L83" s="21"/>
      <c r="M83" s="22"/>
    </row>
    <row r="84" spans="2:13" x14ac:dyDescent="0.25">
      <c r="B84" s="9" t="s">
        <v>43</v>
      </c>
      <c r="C84" s="9" t="s">
        <v>45</v>
      </c>
      <c r="D84" s="3">
        <v>9.91</v>
      </c>
      <c r="H84" s="18"/>
      <c r="I84" s="19"/>
      <c r="J84" s="20"/>
      <c r="K84" s="18"/>
      <c r="L84" s="21"/>
      <c r="M84" s="22"/>
    </row>
    <row r="85" spans="2:13" x14ac:dyDescent="0.25">
      <c r="B85" s="9" t="s">
        <v>43</v>
      </c>
      <c r="C85" s="9" t="s">
        <v>46</v>
      </c>
      <c r="D85" s="3">
        <v>18.59</v>
      </c>
      <c r="H85" s="18"/>
      <c r="I85" s="19"/>
      <c r="J85" s="20"/>
      <c r="K85" s="18"/>
      <c r="L85" s="21"/>
      <c r="M85" s="22"/>
    </row>
    <row r="86" spans="2:13" x14ac:dyDescent="0.25">
      <c r="B86" s="9" t="s">
        <v>43</v>
      </c>
      <c r="C86" s="9" t="s">
        <v>40</v>
      </c>
      <c r="D86" s="3">
        <v>33.79</v>
      </c>
      <c r="H86" s="18"/>
      <c r="I86" s="19"/>
      <c r="J86" s="20"/>
      <c r="K86" s="18"/>
      <c r="L86" s="21"/>
      <c r="M86" s="22"/>
    </row>
    <row r="87" spans="2:13" x14ac:dyDescent="0.25">
      <c r="B87" s="9" t="s">
        <v>43</v>
      </c>
      <c r="C87" s="4" t="s">
        <v>47</v>
      </c>
      <c r="D87" s="3">
        <v>0.14000000000000001</v>
      </c>
      <c r="H87" s="18"/>
      <c r="I87" s="19"/>
      <c r="J87" s="20"/>
      <c r="K87" s="18"/>
      <c r="L87" s="21"/>
      <c r="M87" s="22"/>
    </row>
    <row r="88" spans="2:13" x14ac:dyDescent="0.25">
      <c r="B88" s="9" t="s">
        <v>43</v>
      </c>
      <c r="C88" s="4" t="s">
        <v>28</v>
      </c>
      <c r="D88" s="3">
        <v>2.4</v>
      </c>
      <c r="H88" s="18"/>
      <c r="I88" s="19"/>
      <c r="J88" s="20"/>
      <c r="K88" s="18"/>
      <c r="L88" s="21"/>
      <c r="M8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Syed Wajih</cp:lastModifiedBy>
  <dcterms:created xsi:type="dcterms:W3CDTF">2015-06-05T18:17:20Z</dcterms:created>
  <dcterms:modified xsi:type="dcterms:W3CDTF">2026-03-16T07:32:17Z</dcterms:modified>
</cp:coreProperties>
</file>