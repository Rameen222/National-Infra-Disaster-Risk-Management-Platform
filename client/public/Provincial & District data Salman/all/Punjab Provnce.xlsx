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r Imran\Portal\Infra Portal\Data\Census Data\Provincial &amp; District data\Punjab\"/>
    </mc:Choice>
  </mc:AlternateContent>
  <xr:revisionPtr revIDLastSave="0" documentId="13_ncr:1_{55E0EEF6-65DF-4AA1-857E-637F1C76C9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jab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E48" i="5"/>
  <c r="D48" i="5"/>
  <c r="C48" i="5"/>
  <c r="E44" i="5"/>
  <c r="D44" i="5"/>
  <c r="C44" i="5"/>
</calcChain>
</file>

<file path=xl/sharedStrings.xml><?xml version="1.0" encoding="utf-8"?>
<sst xmlns="http://schemas.openxmlformats.org/spreadsheetml/2006/main" count="117" uniqueCount="74">
  <si>
    <t>Description</t>
  </si>
  <si>
    <t>%</t>
  </si>
  <si>
    <t>Semi Pakka</t>
  </si>
  <si>
    <t>Kacha</t>
  </si>
  <si>
    <t>Residential</t>
  </si>
  <si>
    <t>Economic</t>
  </si>
  <si>
    <t>Residential &amp; Economic</t>
  </si>
  <si>
    <t>Normal Residential:</t>
  </si>
  <si>
    <t>1-3 Story Residential Buildings</t>
  </si>
  <si>
    <t>Normal Economic:</t>
  </si>
  <si>
    <t>1-3 Story Economic Activity Buildings</t>
  </si>
  <si>
    <t>Normal Economic + Residential:</t>
  </si>
  <si>
    <t>1-3 Story Multi-Purpose Buildings</t>
  </si>
  <si>
    <t>Multistory Residential:</t>
  </si>
  <si>
    <t>Multistory Economic:</t>
  </si>
  <si>
    <t>Multistory Economic + Residential:</t>
  </si>
  <si>
    <t>More than 3 Floors Multi-Purpose Buildings</t>
  </si>
  <si>
    <t>Meaning</t>
  </si>
  <si>
    <t>Jughi/Jhompri/Tent</t>
  </si>
  <si>
    <t>Under Construction</t>
  </si>
  <si>
    <t>Types of Structures by Rural/Urban</t>
  </si>
  <si>
    <t>Types of Structures</t>
  </si>
  <si>
    <t>Urban</t>
  </si>
  <si>
    <t>Rural</t>
  </si>
  <si>
    <t>Total</t>
  </si>
  <si>
    <t>All Structures</t>
  </si>
  <si>
    <t>High Rise / Multi-Story Structure</t>
  </si>
  <si>
    <t>Normal Structures</t>
  </si>
  <si>
    <t>Others</t>
  </si>
  <si>
    <t>Districts</t>
  </si>
  <si>
    <t>Brick Masonry</t>
  </si>
  <si>
    <t>Block Masonry</t>
  </si>
  <si>
    <t>Stone Masonry</t>
  </si>
  <si>
    <t>Timber</t>
  </si>
  <si>
    <t>Adobe</t>
  </si>
  <si>
    <t>Pakka House</t>
  </si>
  <si>
    <t>Contruction material used for walls</t>
  </si>
  <si>
    <t>Backed Bricks/Blocks /Stones</t>
  </si>
  <si>
    <t>Type</t>
  </si>
  <si>
    <t>Unbaked Bricks/Mud</t>
  </si>
  <si>
    <t>Wood/Bamboo</t>
  </si>
  <si>
    <t>Playwood/Cardboard</t>
  </si>
  <si>
    <t>Pre-Fab</t>
  </si>
  <si>
    <t>Contruction material used for roofs</t>
  </si>
  <si>
    <t>RRC/RBC</t>
  </si>
  <si>
    <t>Cement/Iron Sheet</t>
  </si>
  <si>
    <t>Garder/T-Iron</t>
  </si>
  <si>
    <t>Pre Fab</t>
  </si>
  <si>
    <t>All strcutures with 4 and above floors</t>
  </si>
  <si>
    <t>All strcutures with 4 and above floors with economic activity building</t>
  </si>
  <si>
    <t>Jughi/Jhompri/Tent/Cave</t>
  </si>
  <si>
    <t>Total Str</t>
  </si>
  <si>
    <t>Punjab</t>
  </si>
  <si>
    <t>Population</t>
  </si>
  <si>
    <t>Male</t>
  </si>
  <si>
    <t>Female</t>
  </si>
  <si>
    <t>Area</t>
  </si>
  <si>
    <t>DENSITY /SQ.K.M</t>
  </si>
  <si>
    <t>AVR H.H SIZE</t>
  </si>
  <si>
    <t>Transgender</t>
  </si>
  <si>
    <t>Abrst. of Health Inst. in Punjab</t>
  </si>
  <si>
    <t>In Punjab</t>
  </si>
  <si>
    <t>Hospitals</t>
  </si>
  <si>
    <t>Dispensaries</t>
  </si>
  <si>
    <t>Rural Health Centers (RHCs)</t>
  </si>
  <si>
    <t>TB Clinics</t>
  </si>
  <si>
    <t>Sub Health Centers (SHC)</t>
  </si>
  <si>
    <t>MCH Centers</t>
  </si>
  <si>
    <t>Basic Health Units (BHU)</t>
  </si>
  <si>
    <t>Trauma</t>
  </si>
  <si>
    <t>Metalled Roads Punjab</t>
  </si>
  <si>
    <t>National Highways</t>
  </si>
  <si>
    <t>Motorway</t>
  </si>
  <si>
    <t>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</si>
</sst>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>
      <alignment vertical="top"/>
    </xf>
  </cellStyleXfs>
  <cellXfs count="2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left" vertical="center"/>
    </xf>
    <xf numFmtId="0" fontId="1" fillId="2" borderId="0" xfId="1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1" applyFont="1" applyAlignment="1"/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3">
    <cellStyle name="40% - Accent1" xfId="1" builtinId="31"/>
    <cellStyle name="Normal" xfId="0" builtinId="0"/>
    <cellStyle name="Normal 2" xfId="2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982E-8240-400D-BE7E-7D9D04910FB1}">
  <dimension ref="B2:U132"/>
  <sheetViews>
    <sheetView tabSelected="1" topLeftCell="B1" zoomScale="85" zoomScaleNormal="85" workbookViewId="0">
      <selection activeCell="K23" sqref="K23"/>
    </sheetView>
  </sheetViews>
  <sheetFormatPr defaultRowHeight="15" x14ac:dyDescent="0.25"/>
  <cols>
    <col min="2" max="2" width="32.140625" customWidth="1"/>
    <col min="3" max="3" width="42.140625" bestFit="1" customWidth="1"/>
    <col min="4" max="4" width="28.5703125" bestFit="1" customWidth="1"/>
    <col min="5" max="5" width="14.42578125" bestFit="1" customWidth="1"/>
    <col min="6" max="6" width="15.5703125" bestFit="1" customWidth="1"/>
    <col min="7" max="7" width="13.140625" style="3" bestFit="1" customWidth="1"/>
    <col min="8" max="8" width="13.5703125" bestFit="1" customWidth="1"/>
    <col min="9" max="9" width="14" bestFit="1" customWidth="1"/>
    <col min="10" max="10" width="14.42578125" customWidth="1"/>
    <col min="11" max="11" width="11" bestFit="1" customWidth="1"/>
    <col min="12" max="12" width="12" bestFit="1" customWidth="1"/>
    <col min="13" max="13" width="9.140625" style="2"/>
  </cols>
  <sheetData>
    <row r="2" spans="2:10" x14ac:dyDescent="0.25">
      <c r="B2" s="13" t="s">
        <v>52</v>
      </c>
      <c r="C2" s="13" t="s">
        <v>53</v>
      </c>
      <c r="D2" s="13" t="s">
        <v>54</v>
      </c>
      <c r="E2" s="13" t="s">
        <v>55</v>
      </c>
      <c r="F2" s="13" t="s">
        <v>59</v>
      </c>
      <c r="G2" s="13" t="s">
        <v>24</v>
      </c>
      <c r="H2" s="13" t="s">
        <v>56</v>
      </c>
      <c r="I2" s="13" t="s">
        <v>57</v>
      </c>
      <c r="J2" s="13" t="s">
        <v>58</v>
      </c>
    </row>
    <row r="3" spans="2:10" x14ac:dyDescent="0.25">
      <c r="B3" t="s">
        <v>52</v>
      </c>
      <c r="C3" t="s">
        <v>53</v>
      </c>
      <c r="D3" s="1">
        <v>65448376</v>
      </c>
      <c r="E3" s="1">
        <v>62226589</v>
      </c>
      <c r="F3" s="1">
        <v>13957</v>
      </c>
      <c r="G3" s="15">
        <f>SUM(D3:F3)</f>
        <v>127688922</v>
      </c>
      <c r="H3">
        <v>205345</v>
      </c>
      <c r="I3" s="17">
        <v>891.8239681807313</v>
      </c>
      <c r="J3" s="18">
        <v>6.3583333333333325</v>
      </c>
    </row>
    <row r="4" spans="2:10" x14ac:dyDescent="0.25">
      <c r="D4" s="1"/>
      <c r="E4" s="1"/>
      <c r="F4" s="1"/>
      <c r="G4" s="15"/>
      <c r="I4" s="17"/>
      <c r="J4" s="18"/>
    </row>
    <row r="5" spans="2:10" x14ac:dyDescent="0.25">
      <c r="D5" s="1"/>
      <c r="E5" s="1"/>
      <c r="F5" s="1"/>
      <c r="G5" s="15"/>
      <c r="I5" s="17"/>
      <c r="J5" s="18"/>
    </row>
    <row r="6" spans="2:10" x14ac:dyDescent="0.25">
      <c r="C6" s="13" t="s">
        <v>60</v>
      </c>
      <c r="D6" s="13" t="s">
        <v>0</v>
      </c>
      <c r="E6" s="13" t="s">
        <v>61</v>
      </c>
      <c r="F6" s="1"/>
      <c r="G6" s="15"/>
      <c r="I6" s="17"/>
      <c r="J6" s="18"/>
    </row>
    <row r="7" spans="2:10" x14ac:dyDescent="0.25">
      <c r="C7" s="19" t="s">
        <v>60</v>
      </c>
      <c r="D7" s="19" t="s">
        <v>62</v>
      </c>
      <c r="E7" s="20">
        <v>339</v>
      </c>
      <c r="F7" s="1"/>
      <c r="G7" s="15"/>
      <c r="I7" s="17"/>
      <c r="J7" s="18"/>
    </row>
    <row r="8" spans="2:10" x14ac:dyDescent="0.25">
      <c r="C8" s="19" t="s">
        <v>60</v>
      </c>
      <c r="D8" s="19" t="s">
        <v>63</v>
      </c>
      <c r="E8" s="20">
        <v>1188</v>
      </c>
      <c r="F8" s="1"/>
      <c r="G8" s="15"/>
      <c r="I8" s="17"/>
      <c r="J8" s="18"/>
    </row>
    <row r="9" spans="2:10" x14ac:dyDescent="0.25">
      <c r="C9" s="19" t="s">
        <v>60</v>
      </c>
      <c r="D9" s="19" t="s">
        <v>64</v>
      </c>
      <c r="E9" s="20">
        <v>359</v>
      </c>
      <c r="F9" s="1"/>
      <c r="G9" s="15"/>
      <c r="I9" s="17"/>
      <c r="J9" s="18"/>
    </row>
    <row r="10" spans="2:10" x14ac:dyDescent="0.25">
      <c r="C10" s="19" t="s">
        <v>60</v>
      </c>
      <c r="D10" s="19" t="s">
        <v>65</v>
      </c>
      <c r="E10" s="20">
        <v>36</v>
      </c>
      <c r="F10" s="1"/>
      <c r="G10" s="15"/>
      <c r="I10" s="17"/>
      <c r="J10" s="18"/>
    </row>
    <row r="11" spans="2:10" x14ac:dyDescent="0.25">
      <c r="C11" s="19" t="s">
        <v>60</v>
      </c>
      <c r="D11" s="19" t="s">
        <v>66</v>
      </c>
      <c r="E11" s="20">
        <v>137</v>
      </c>
      <c r="F11" s="1"/>
      <c r="G11" s="15"/>
      <c r="I11" s="17"/>
      <c r="J11" s="18"/>
    </row>
    <row r="12" spans="2:10" x14ac:dyDescent="0.25">
      <c r="C12" s="19" t="s">
        <v>60</v>
      </c>
      <c r="D12" s="19" t="s">
        <v>67</v>
      </c>
      <c r="E12" s="20">
        <v>268</v>
      </c>
      <c r="F12" s="1"/>
      <c r="G12" s="15"/>
      <c r="I12" s="17"/>
      <c r="J12" s="18"/>
    </row>
    <row r="13" spans="2:10" x14ac:dyDescent="0.25">
      <c r="C13" s="19" t="s">
        <v>60</v>
      </c>
      <c r="D13" s="19" t="s">
        <v>68</v>
      </c>
      <c r="E13" s="20">
        <v>2583</v>
      </c>
      <c r="F13" s="1"/>
      <c r="G13" s="15"/>
      <c r="I13" s="17"/>
      <c r="J13" s="18"/>
    </row>
    <row r="14" spans="2:10" x14ac:dyDescent="0.25">
      <c r="C14" s="19" t="s">
        <v>60</v>
      </c>
      <c r="D14" s="19" t="s">
        <v>69</v>
      </c>
      <c r="E14" s="20">
        <v>9</v>
      </c>
      <c r="F14" s="1"/>
      <c r="G14" s="15"/>
      <c r="I14" s="17"/>
      <c r="J14" s="18"/>
    </row>
    <row r="15" spans="2:10" x14ac:dyDescent="0.25">
      <c r="D15" s="1"/>
      <c r="E15" s="1"/>
      <c r="F15" s="1"/>
      <c r="G15" s="15"/>
      <c r="I15" s="17"/>
      <c r="J15" s="18"/>
    </row>
    <row r="16" spans="2:10" x14ac:dyDescent="0.25">
      <c r="D16" s="1"/>
      <c r="E16" s="1"/>
      <c r="F16" s="1"/>
      <c r="G16" s="15"/>
      <c r="I16" s="17"/>
      <c r="J16" s="18"/>
    </row>
    <row r="17" spans="2:10" x14ac:dyDescent="0.25">
      <c r="D17" s="1"/>
      <c r="E17" s="1"/>
      <c r="F17" s="1"/>
      <c r="G17" s="15"/>
      <c r="I17" s="17"/>
      <c r="J17" s="18"/>
    </row>
    <row r="18" spans="2:10" x14ac:dyDescent="0.25">
      <c r="C18" s="13" t="s">
        <v>70</v>
      </c>
      <c r="D18" s="13" t="s">
        <v>71</v>
      </c>
      <c r="E18" s="13" t="s">
        <v>72</v>
      </c>
      <c r="F18" s="13" t="s">
        <v>73</v>
      </c>
      <c r="G18" s="19"/>
      <c r="H18" s="19"/>
      <c r="I18" s="19"/>
    </row>
    <row r="19" spans="2:10" x14ac:dyDescent="0.25">
      <c r="C19" s="19" t="s">
        <v>70</v>
      </c>
      <c r="D19" s="19">
        <v>2162</v>
      </c>
      <c r="E19" s="19">
        <v>1574</v>
      </c>
      <c r="F19" s="19">
        <v>88624</v>
      </c>
      <c r="G19" s="19"/>
      <c r="H19" s="19"/>
      <c r="I19" s="19"/>
    </row>
    <row r="20" spans="2:10" x14ac:dyDescent="0.25">
      <c r="D20" s="1"/>
      <c r="E20" s="1"/>
      <c r="F20" s="1"/>
      <c r="G20" s="15"/>
      <c r="I20" s="17"/>
      <c r="J20" s="18"/>
    </row>
    <row r="21" spans="2:10" x14ac:dyDescent="0.25">
      <c r="D21" s="1"/>
      <c r="E21" s="1"/>
      <c r="F21" s="1"/>
      <c r="G21" s="15"/>
      <c r="I21" s="17"/>
      <c r="J21" s="18"/>
    </row>
    <row r="22" spans="2:10" x14ac:dyDescent="0.25">
      <c r="D22" s="1"/>
      <c r="E22" s="1"/>
      <c r="F22" s="1"/>
      <c r="G22" s="15"/>
      <c r="I22" s="17"/>
      <c r="J22" s="18"/>
    </row>
    <row r="23" spans="2:10" x14ac:dyDescent="0.25">
      <c r="D23" s="1"/>
      <c r="E23" s="1"/>
      <c r="F23" s="1"/>
      <c r="G23" s="15"/>
      <c r="I23" s="17"/>
      <c r="J23" s="18"/>
    </row>
    <row r="24" spans="2:10" x14ac:dyDescent="0.25">
      <c r="D24" s="1"/>
      <c r="E24" s="1"/>
      <c r="F24" s="1"/>
      <c r="G24" s="15"/>
      <c r="I24" s="17"/>
      <c r="J24" s="18"/>
    </row>
    <row r="25" spans="2:10" x14ac:dyDescent="0.25">
      <c r="D25" s="1"/>
      <c r="E25" s="1"/>
      <c r="F25" s="1"/>
      <c r="G25" s="15"/>
      <c r="I25" s="17"/>
      <c r="J25" s="18"/>
    </row>
    <row r="26" spans="2:10" x14ac:dyDescent="0.25">
      <c r="D26" s="1"/>
      <c r="E26" s="1"/>
      <c r="F26" s="1"/>
      <c r="G26" s="15"/>
      <c r="I26" s="17"/>
      <c r="J26" s="18"/>
    </row>
    <row r="27" spans="2:10" x14ac:dyDescent="0.25">
      <c r="D27" s="1"/>
      <c r="E27" s="1"/>
      <c r="F27" s="1"/>
      <c r="G27" s="15"/>
      <c r="I27" s="17"/>
      <c r="J27" s="18"/>
    </row>
    <row r="28" spans="2:10" x14ac:dyDescent="0.25">
      <c r="D28" s="1"/>
      <c r="E28" s="1"/>
      <c r="F28" s="1"/>
      <c r="G28" s="15"/>
      <c r="I28" s="17"/>
      <c r="J28" s="18"/>
    </row>
    <row r="29" spans="2:10" x14ac:dyDescent="0.25">
      <c r="D29" s="1"/>
      <c r="E29" s="1"/>
      <c r="F29" s="1"/>
      <c r="G29" s="15"/>
      <c r="I29" s="17"/>
      <c r="J29" s="18"/>
    </row>
    <row r="31" spans="2:10" x14ac:dyDescent="0.25">
      <c r="B31" s="13" t="s">
        <v>0</v>
      </c>
      <c r="C31" s="13" t="s">
        <v>17</v>
      </c>
      <c r="D31" s="13" t="s">
        <v>1</v>
      </c>
    </row>
    <row r="32" spans="2:10" x14ac:dyDescent="0.25">
      <c r="B32" t="s">
        <v>7</v>
      </c>
      <c r="C32" t="s">
        <v>8</v>
      </c>
      <c r="D32">
        <v>78.58</v>
      </c>
    </row>
    <row r="33" spans="2:5" x14ac:dyDescent="0.25">
      <c r="B33" t="s">
        <v>9</v>
      </c>
      <c r="C33" t="s">
        <v>10</v>
      </c>
      <c r="D33">
        <v>14.78</v>
      </c>
    </row>
    <row r="34" spans="2:5" x14ac:dyDescent="0.25">
      <c r="B34" t="s">
        <v>11</v>
      </c>
      <c r="C34" t="s">
        <v>12</v>
      </c>
      <c r="D34">
        <v>3.66</v>
      </c>
    </row>
    <row r="35" spans="2:5" x14ac:dyDescent="0.25">
      <c r="B35" t="s">
        <v>13</v>
      </c>
      <c r="C35" t="s">
        <v>48</v>
      </c>
      <c r="D35">
        <v>0.08</v>
      </c>
    </row>
    <row r="36" spans="2:5" ht="30" x14ac:dyDescent="0.25">
      <c r="B36" s="6" t="s">
        <v>14</v>
      </c>
      <c r="C36" s="8" t="s">
        <v>49</v>
      </c>
      <c r="D36">
        <v>0.02</v>
      </c>
    </row>
    <row r="37" spans="2:5" x14ac:dyDescent="0.25">
      <c r="B37" t="s">
        <v>15</v>
      </c>
      <c r="C37" t="s">
        <v>16</v>
      </c>
      <c r="D37">
        <v>0.02</v>
      </c>
    </row>
    <row r="38" spans="2:5" x14ac:dyDescent="0.25">
      <c r="B38" t="s">
        <v>50</v>
      </c>
      <c r="D38">
        <v>0.47</v>
      </c>
    </row>
    <row r="39" spans="2:5" x14ac:dyDescent="0.25">
      <c r="B39" t="s">
        <v>19</v>
      </c>
      <c r="D39">
        <v>2.39</v>
      </c>
    </row>
    <row r="41" spans="2:5" x14ac:dyDescent="0.25">
      <c r="B41" s="13" t="s">
        <v>20</v>
      </c>
    </row>
    <row r="42" spans="2:5" x14ac:dyDescent="0.25">
      <c r="B42" s="11" t="s">
        <v>21</v>
      </c>
      <c r="C42" s="11" t="s">
        <v>24</v>
      </c>
      <c r="D42" s="11" t="s">
        <v>23</v>
      </c>
      <c r="E42" s="11" t="s">
        <v>22</v>
      </c>
    </row>
    <row r="43" spans="2:5" x14ac:dyDescent="0.25">
      <c r="B43" t="s">
        <v>25</v>
      </c>
      <c r="C43" s="9">
        <v>22119690</v>
      </c>
      <c r="D43" s="9">
        <v>13383270</v>
      </c>
      <c r="E43" s="9">
        <v>8736420</v>
      </c>
    </row>
    <row r="44" spans="2:5" x14ac:dyDescent="0.25">
      <c r="B44" s="11" t="s">
        <v>26</v>
      </c>
      <c r="C44" s="11">
        <f>SUM(C45:C47)</f>
        <v>26778</v>
      </c>
      <c r="D44" s="11">
        <f t="shared" ref="D44:E44" si="0">SUM(D45:D47)</f>
        <v>3179</v>
      </c>
      <c r="E44" s="11">
        <f t="shared" si="0"/>
        <v>23599</v>
      </c>
    </row>
    <row r="45" spans="2:5" x14ac:dyDescent="0.25">
      <c r="B45" t="s">
        <v>4</v>
      </c>
      <c r="C45" s="9">
        <v>18136</v>
      </c>
      <c r="D45" s="9">
        <v>2153</v>
      </c>
      <c r="E45" s="9">
        <v>15983</v>
      </c>
    </row>
    <row r="46" spans="2:5" x14ac:dyDescent="0.25">
      <c r="B46" t="s">
        <v>5</v>
      </c>
      <c r="C46" s="9">
        <v>3533</v>
      </c>
      <c r="D46" s="2">
        <v>269</v>
      </c>
      <c r="E46" s="9">
        <v>3264</v>
      </c>
    </row>
    <row r="47" spans="2:5" x14ac:dyDescent="0.25">
      <c r="B47" t="s">
        <v>6</v>
      </c>
      <c r="C47" s="9">
        <v>5109</v>
      </c>
      <c r="D47" s="2">
        <v>757</v>
      </c>
      <c r="E47" s="9">
        <v>4352</v>
      </c>
    </row>
    <row r="48" spans="2:5" x14ac:dyDescent="0.25">
      <c r="B48" s="11" t="s">
        <v>27</v>
      </c>
      <c r="C48" s="11">
        <f>SUM(C49:C51)</f>
        <v>21460198</v>
      </c>
      <c r="D48" s="11">
        <f>SUM(D49:D51)</f>
        <v>13041706</v>
      </c>
      <c r="E48" s="11">
        <f>SUM(E49:E51)</f>
        <v>8418492</v>
      </c>
    </row>
    <row r="49" spans="2:5" x14ac:dyDescent="0.25">
      <c r="B49" t="s">
        <v>4</v>
      </c>
      <c r="C49" s="9">
        <v>17379886</v>
      </c>
      <c r="D49" s="9">
        <v>10613874</v>
      </c>
      <c r="E49" s="9">
        <v>6766012</v>
      </c>
    </row>
    <row r="50" spans="2:5" x14ac:dyDescent="0.25">
      <c r="B50" t="s">
        <v>5</v>
      </c>
      <c r="C50" s="2">
        <v>3270252</v>
      </c>
      <c r="D50" s="9">
        <v>2049762</v>
      </c>
      <c r="E50" s="9">
        <v>1220490</v>
      </c>
    </row>
    <row r="51" spans="2:5" x14ac:dyDescent="0.25">
      <c r="B51" t="s">
        <v>6</v>
      </c>
      <c r="C51" s="9">
        <v>810060</v>
      </c>
      <c r="D51" s="9">
        <v>378070</v>
      </c>
      <c r="E51" s="9">
        <v>431990</v>
      </c>
    </row>
    <row r="52" spans="2:5" x14ac:dyDescent="0.25">
      <c r="B52" t="s">
        <v>18</v>
      </c>
      <c r="C52" s="9">
        <v>104267</v>
      </c>
      <c r="D52" s="9">
        <v>68836</v>
      </c>
      <c r="E52" s="9">
        <v>35431</v>
      </c>
    </row>
    <row r="53" spans="2:5" x14ac:dyDescent="0.25">
      <c r="B53" t="s">
        <v>19</v>
      </c>
      <c r="C53" s="9">
        <v>528470</v>
      </c>
      <c r="D53" s="9">
        <v>269555</v>
      </c>
      <c r="E53" s="9">
        <v>258915</v>
      </c>
    </row>
    <row r="55" spans="2:5" x14ac:dyDescent="0.25">
      <c r="B55" s="12" t="s">
        <v>0</v>
      </c>
      <c r="C55" s="12" t="s">
        <v>1</v>
      </c>
    </row>
    <row r="56" spans="2:5" x14ac:dyDescent="0.25">
      <c r="B56" s="4" t="s">
        <v>35</v>
      </c>
      <c r="C56" s="2">
        <v>80.8</v>
      </c>
    </row>
    <row r="57" spans="2:5" x14ac:dyDescent="0.25">
      <c r="B57" s="3" t="s">
        <v>23</v>
      </c>
      <c r="C57" s="2">
        <v>72.989999999999995</v>
      </c>
    </row>
    <row r="58" spans="2:5" x14ac:dyDescent="0.25">
      <c r="B58" s="3" t="s">
        <v>22</v>
      </c>
      <c r="C58" s="2">
        <v>92.06</v>
      </c>
    </row>
    <row r="59" spans="2:5" x14ac:dyDescent="0.25">
      <c r="B59" s="4" t="s">
        <v>2</v>
      </c>
      <c r="C59" s="2">
        <v>11.93</v>
      </c>
    </row>
    <row r="60" spans="2:5" x14ac:dyDescent="0.25">
      <c r="B60" s="3" t="s">
        <v>23</v>
      </c>
      <c r="C60" s="2">
        <v>16.41</v>
      </c>
    </row>
    <row r="61" spans="2:5" x14ac:dyDescent="0.25">
      <c r="B61" s="3" t="s">
        <v>22</v>
      </c>
      <c r="C61" s="2">
        <v>5.49</v>
      </c>
    </row>
    <row r="62" spans="2:5" x14ac:dyDescent="0.25">
      <c r="B62" s="4" t="s">
        <v>3</v>
      </c>
      <c r="C62" s="2">
        <v>7.26</v>
      </c>
    </row>
    <row r="63" spans="2:5" x14ac:dyDescent="0.25">
      <c r="B63" s="3" t="s">
        <v>23</v>
      </c>
      <c r="C63" s="2">
        <v>10.6</v>
      </c>
    </row>
    <row r="64" spans="2:5" x14ac:dyDescent="0.25">
      <c r="B64" s="3" t="s">
        <v>22</v>
      </c>
      <c r="C64" s="2">
        <v>2.4500000000000002</v>
      </c>
    </row>
    <row r="66" spans="2:9" x14ac:dyDescent="0.25">
      <c r="B66" s="12" t="s">
        <v>29</v>
      </c>
      <c r="C66" s="12" t="s">
        <v>30</v>
      </c>
      <c r="D66" s="12" t="s">
        <v>31</v>
      </c>
      <c r="E66" s="12" t="s">
        <v>32</v>
      </c>
      <c r="F66" s="12" t="s">
        <v>33</v>
      </c>
      <c r="G66" s="12" t="s">
        <v>34</v>
      </c>
      <c r="H66" s="12" t="s">
        <v>51</v>
      </c>
    </row>
    <row r="67" spans="2:9" x14ac:dyDescent="0.25">
      <c r="B67" t="s">
        <v>52</v>
      </c>
      <c r="C67" s="14">
        <v>20.486314580633447</v>
      </c>
      <c r="D67" s="14">
        <v>54.384683318616553</v>
      </c>
      <c r="E67" s="14">
        <v>10.6551399578968</v>
      </c>
      <c r="F67" s="14">
        <v>0.88076969011619644</v>
      </c>
      <c r="G67" s="14">
        <v>13.593092452737007</v>
      </c>
      <c r="H67" s="2">
        <v>22119690</v>
      </c>
    </row>
    <row r="71" spans="2:9" x14ac:dyDescent="0.25">
      <c r="B71" s="12" t="s">
        <v>38</v>
      </c>
      <c r="C71" s="12" t="s">
        <v>36</v>
      </c>
      <c r="D71" s="12" t="s">
        <v>1</v>
      </c>
    </row>
    <row r="72" spans="2:9" x14ac:dyDescent="0.25">
      <c r="B72" s="5" t="s">
        <v>37</v>
      </c>
      <c r="C72" s="3" t="s">
        <v>36</v>
      </c>
      <c r="D72" s="2">
        <v>86.6</v>
      </c>
    </row>
    <row r="73" spans="2:9" x14ac:dyDescent="0.25">
      <c r="B73" s="7" t="s">
        <v>39</v>
      </c>
      <c r="C73" s="3" t="s">
        <v>36</v>
      </c>
      <c r="D73" s="2">
        <v>11.84</v>
      </c>
    </row>
    <row r="74" spans="2:9" x14ac:dyDescent="0.25">
      <c r="B74" s="7" t="s">
        <v>40</v>
      </c>
      <c r="C74" s="3" t="s">
        <v>36</v>
      </c>
      <c r="D74" s="2">
        <v>7.0000000000000007E-2</v>
      </c>
      <c r="I74" s="16"/>
    </row>
    <row r="75" spans="2:9" x14ac:dyDescent="0.25">
      <c r="B75" s="10" t="s">
        <v>41</v>
      </c>
      <c r="C75" s="3" t="s">
        <v>36</v>
      </c>
      <c r="D75" s="2">
        <v>0.02</v>
      </c>
    </row>
    <row r="76" spans="2:9" x14ac:dyDescent="0.25">
      <c r="B76" s="3" t="s">
        <v>42</v>
      </c>
      <c r="C76" s="3" t="s">
        <v>36</v>
      </c>
      <c r="D76" s="2">
        <v>0.03</v>
      </c>
    </row>
    <row r="77" spans="2:9" x14ac:dyDescent="0.25">
      <c r="B77" s="3" t="s">
        <v>28</v>
      </c>
      <c r="C77" s="3" t="s">
        <v>36</v>
      </c>
      <c r="D77" s="2">
        <v>0.82</v>
      </c>
    </row>
    <row r="78" spans="2:9" x14ac:dyDescent="0.25">
      <c r="B78" s="3"/>
      <c r="D78" s="2"/>
    </row>
    <row r="79" spans="2:9" x14ac:dyDescent="0.25">
      <c r="B79" s="12" t="s">
        <v>38</v>
      </c>
      <c r="C79" s="12" t="s">
        <v>43</v>
      </c>
      <c r="D79" s="12" t="s">
        <v>1</v>
      </c>
    </row>
    <row r="80" spans="2:9" x14ac:dyDescent="0.25">
      <c r="B80" s="5" t="s">
        <v>44</v>
      </c>
      <c r="C80" s="3" t="s">
        <v>43</v>
      </c>
      <c r="D80" s="2">
        <v>34.03</v>
      </c>
    </row>
    <row r="81" spans="2:21" x14ac:dyDescent="0.25">
      <c r="B81" s="7" t="s">
        <v>45</v>
      </c>
      <c r="C81" s="3" t="s">
        <v>43</v>
      </c>
      <c r="D81" s="2">
        <v>5.16</v>
      </c>
    </row>
    <row r="82" spans="2:21" x14ac:dyDescent="0.25">
      <c r="B82" s="7" t="s">
        <v>46</v>
      </c>
      <c r="C82" s="3" t="s">
        <v>43</v>
      </c>
      <c r="D82" s="2">
        <v>47.74</v>
      </c>
    </row>
    <row r="83" spans="2:21" x14ac:dyDescent="0.25">
      <c r="B83" s="7" t="s">
        <v>40</v>
      </c>
      <c r="C83" s="3" t="s">
        <v>43</v>
      </c>
      <c r="D83" s="2">
        <v>12.08</v>
      </c>
      <c r="I83" s="16"/>
    </row>
    <row r="84" spans="2:21" x14ac:dyDescent="0.25">
      <c r="B84" s="3" t="s">
        <v>47</v>
      </c>
      <c r="C84" s="3" t="s">
        <v>43</v>
      </c>
      <c r="D84" s="2">
        <v>0.08</v>
      </c>
    </row>
    <row r="85" spans="2:21" x14ac:dyDescent="0.25">
      <c r="B85" s="3" t="s">
        <v>28</v>
      </c>
      <c r="C85" s="3" t="s">
        <v>43</v>
      </c>
      <c r="D85" s="2">
        <v>0.91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2:21" x14ac:dyDescent="0.25">
      <c r="F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2:21" x14ac:dyDescent="0.25"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2:21" x14ac:dyDescent="0.25"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2:21" x14ac:dyDescent="0.25"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2:21" x14ac:dyDescent="0.25"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2:21" x14ac:dyDescent="0.25"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2:21" x14ac:dyDescent="0.25"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2:21" x14ac:dyDescent="0.25"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2:21" x14ac:dyDescent="0.25"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2:21" x14ac:dyDescent="0.25"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2:21" x14ac:dyDescent="0.25"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8:21" x14ac:dyDescent="0.25"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8:21" x14ac:dyDescent="0.25"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8:21" x14ac:dyDescent="0.25"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8:21" x14ac:dyDescent="0.25"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8:21" x14ac:dyDescent="0.25"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8:21" x14ac:dyDescent="0.25"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8:21" x14ac:dyDescent="0.25"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8:21" x14ac:dyDescent="0.25"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8:21" x14ac:dyDescent="0.25"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8:21" x14ac:dyDescent="0.25"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8:21" x14ac:dyDescent="0.25"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8:21" x14ac:dyDescent="0.25"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8:21" x14ac:dyDescent="0.25"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8:21" x14ac:dyDescent="0.25"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8:21" x14ac:dyDescent="0.25"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8:21" x14ac:dyDescent="0.25"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8:21" x14ac:dyDescent="0.25"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8:21" x14ac:dyDescent="0.25"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8:21" x14ac:dyDescent="0.25"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8:21" x14ac:dyDescent="0.25"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8:21" x14ac:dyDescent="0.25"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8:21" x14ac:dyDescent="0.25"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8:21" x14ac:dyDescent="0.25"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8:21" x14ac:dyDescent="0.25"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8:21" x14ac:dyDescent="0.25"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8:21" x14ac:dyDescent="0.25"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8:21" x14ac:dyDescent="0.25"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8:21" x14ac:dyDescent="0.25"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8:21" x14ac:dyDescent="0.25"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8:21" x14ac:dyDescent="0.25"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8:21" x14ac:dyDescent="0.25"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8:21" x14ac:dyDescent="0.25"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8:21" x14ac:dyDescent="0.25"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8:21" x14ac:dyDescent="0.25"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8:21" x14ac:dyDescent="0.25"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8:21" x14ac:dyDescent="0.25"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Punjab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Syed Wajih</cp:lastModifiedBy>
  <dcterms:created xsi:type="dcterms:W3CDTF">2015-06-05T18:17:20Z</dcterms:created>
  <dcterms:modified xsi:type="dcterms:W3CDTF">2026-03-17T04:41:44Z</dcterms:modified>
</cp:coreProperties>
</file>