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Balochistan\"/>
    </mc:Choice>
  </mc:AlternateContent>
  <xr:revisionPtr revIDLastSave="0" documentId="13_ncr:1_{1C1A6AC5-F3AF-4A72-ABDF-06E44B79D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oc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D35" i="3" l="1"/>
  <c r="E35" i="3"/>
</calcChain>
</file>

<file path=xl/sharedStrings.xml><?xml version="1.0" encoding="utf-8"?>
<sst xmlns="http://schemas.openxmlformats.org/spreadsheetml/2006/main" count="126" uniqueCount="78">
  <si>
    <t>Description</t>
  </si>
  <si>
    <t>%</t>
  </si>
  <si>
    <t>Semi Pakka</t>
  </si>
  <si>
    <t>Kacha</t>
  </si>
  <si>
    <t>Residential</t>
  </si>
  <si>
    <t>Economic</t>
  </si>
  <si>
    <t>Residential &amp; Economic</t>
  </si>
  <si>
    <t>Normal Residential:</t>
  </si>
  <si>
    <t>1-3 Story Residential Buildings</t>
  </si>
  <si>
    <t>Normal Economic:</t>
  </si>
  <si>
    <t>1-3 Story Economic Activity Buildings</t>
  </si>
  <si>
    <t>Normal Economic + Residential:</t>
  </si>
  <si>
    <t>1-3 Story Multi-Purpose Buildings</t>
  </si>
  <si>
    <t>Multistory Residential:</t>
  </si>
  <si>
    <t>Multistory Economic:</t>
  </si>
  <si>
    <t>Multistory Economic + Residential:</t>
  </si>
  <si>
    <t>More than 3 Floors Multi-Purpose Buildings</t>
  </si>
  <si>
    <t>Meaning</t>
  </si>
  <si>
    <t>Jughi/Jhompri/Tent</t>
  </si>
  <si>
    <t>Under Construction</t>
  </si>
  <si>
    <t>Types of Structures by Rural/Urban</t>
  </si>
  <si>
    <t>Types of Structures</t>
  </si>
  <si>
    <t>Urban</t>
  </si>
  <si>
    <t>Rural</t>
  </si>
  <si>
    <t>Total</t>
  </si>
  <si>
    <t>All Structures</t>
  </si>
  <si>
    <t>High Rise / Multi-Story Structure</t>
  </si>
  <si>
    <t>Normal Structures</t>
  </si>
  <si>
    <t>Others</t>
  </si>
  <si>
    <t>Districts</t>
  </si>
  <si>
    <t>Brick Masonry</t>
  </si>
  <si>
    <t>Block Masonry</t>
  </si>
  <si>
    <t>Stone Masonry</t>
  </si>
  <si>
    <t>Timber</t>
  </si>
  <si>
    <t>Adobe</t>
  </si>
  <si>
    <t>Pakka House</t>
  </si>
  <si>
    <t>Contruction material used for walls</t>
  </si>
  <si>
    <t>Backed Bricks/Blocks /Stones</t>
  </si>
  <si>
    <t>Type</t>
  </si>
  <si>
    <t>Unbaked Bricks/Mud</t>
  </si>
  <si>
    <t>Wood/Bamboo</t>
  </si>
  <si>
    <t>Playwood/Cardboard</t>
  </si>
  <si>
    <t>Pre-Fab</t>
  </si>
  <si>
    <t>Contruction material used for roofs</t>
  </si>
  <si>
    <t>RRC/RBC</t>
  </si>
  <si>
    <t>Cement/Iron Sheet</t>
  </si>
  <si>
    <t>Garder/T-Iron</t>
  </si>
  <si>
    <t>Pre Fab</t>
  </si>
  <si>
    <t>All strcutures with 4 and above floors</t>
  </si>
  <si>
    <t>All strcutures with 4 and above floors with economic activity building</t>
  </si>
  <si>
    <t>Jughi/Jhompri/Tent/Cave</t>
  </si>
  <si>
    <t xml:space="preserve">Balochistan </t>
  </si>
  <si>
    <t>Total Str</t>
  </si>
  <si>
    <t>Population</t>
  </si>
  <si>
    <t>Male</t>
  </si>
  <si>
    <t>Female</t>
  </si>
  <si>
    <t>Area</t>
  </si>
  <si>
    <t>DENSITY /SQ.K.M</t>
  </si>
  <si>
    <t>AVR H.H SIZE</t>
  </si>
  <si>
    <t>Primary Schools</t>
  </si>
  <si>
    <t>Middle Schools</t>
  </si>
  <si>
    <t>High Schools</t>
  </si>
  <si>
    <t>Higher Sec Schools</t>
  </si>
  <si>
    <t>Inter Colleges</t>
  </si>
  <si>
    <t>Degree Colleges</t>
  </si>
  <si>
    <t>Hospitals</t>
  </si>
  <si>
    <t>Dispensaries</t>
  </si>
  <si>
    <t>Basic Health Units</t>
  </si>
  <si>
    <t>Rural Health Centers</t>
  </si>
  <si>
    <t>MCH Centers</t>
  </si>
  <si>
    <t>Road in Kilometers in Balochistan</t>
  </si>
  <si>
    <t>Black Top</t>
  </si>
  <si>
    <t>Shingle</t>
  </si>
  <si>
    <t>Nos.</t>
  </si>
  <si>
    <t>Govt. Educational Facilities in Balochistan</t>
  </si>
  <si>
    <t>Province</t>
  </si>
  <si>
    <t>Abrstract of Health Instutions in Balochistan</t>
  </si>
  <si>
    <t>Population per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</si>
</sst>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>
      <alignment vertical="top"/>
    </xf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Font="1" applyAlignment="1">
      <alignment horizontal="left"/>
    </xf>
    <xf numFmtId="0" fontId="1" fillId="2" borderId="0" xfId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left" vertical="center"/>
    </xf>
    <xf numFmtId="2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/>
    <xf numFmtId="1" fontId="1" fillId="3" borderId="0" xfId="0" applyNumberFormat="1" applyFont="1" applyFill="1" applyAlignment="1">
      <alignment horizontal="center" vertical="center"/>
    </xf>
    <xf numFmtId="0" fontId="1" fillId="2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ACF2-2C17-4FEA-9FE4-D89A7779784D}">
  <dimension ref="B2:I80"/>
  <sheetViews>
    <sheetView tabSelected="1" zoomScale="70" zoomScaleNormal="70" workbookViewId="0">
      <selection activeCell="G25" sqref="G25"/>
    </sheetView>
  </sheetViews>
  <sheetFormatPr defaultRowHeight="15" x14ac:dyDescent="0.25"/>
  <cols>
    <col min="2" max="2" width="51" bestFit="1" customWidth="1"/>
    <col min="3" max="3" width="42.42578125" bestFit="1" customWidth="1"/>
    <col min="4" max="4" width="17.7109375" bestFit="1" customWidth="1"/>
    <col min="5" max="5" width="18.28515625" bestFit="1" customWidth="1"/>
    <col min="6" max="6" width="18.7109375" bestFit="1" customWidth="1"/>
    <col min="7" max="7" width="9.28515625" bestFit="1" customWidth="1"/>
    <col min="8" max="8" width="22.140625" bestFit="1" customWidth="1"/>
    <col min="9" max="9" width="17.28515625" bestFit="1" customWidth="1"/>
    <col min="10" max="10" width="11" bestFit="1" customWidth="1"/>
  </cols>
  <sheetData>
    <row r="2" spans="2:9" x14ac:dyDescent="0.25">
      <c r="B2" s="15" t="s">
        <v>75</v>
      </c>
      <c r="C2" s="15" t="s">
        <v>53</v>
      </c>
      <c r="D2" s="15" t="s">
        <v>54</v>
      </c>
      <c r="E2" s="15" t="s">
        <v>55</v>
      </c>
      <c r="F2" s="15" t="s">
        <v>24</v>
      </c>
      <c r="G2" s="15" t="s">
        <v>56</v>
      </c>
      <c r="H2" s="15" t="s">
        <v>57</v>
      </c>
      <c r="I2" s="15" t="s">
        <v>58</v>
      </c>
    </row>
    <row r="3" spans="2:9" x14ac:dyDescent="0.25">
      <c r="B3" t="s">
        <v>51</v>
      </c>
      <c r="C3" s="3" t="s">
        <v>53</v>
      </c>
      <c r="D3" s="12">
        <v>7768923</v>
      </c>
      <c r="E3" s="12">
        <v>7125471</v>
      </c>
      <c r="F3" s="12">
        <v>14894394</v>
      </c>
      <c r="G3" s="20">
        <v>347190</v>
      </c>
      <c r="H3" s="20">
        <v>42.9</v>
      </c>
      <c r="I3" s="20">
        <v>6.4</v>
      </c>
    </row>
    <row r="5" spans="2:9" ht="25.5" customHeight="1" x14ac:dyDescent="0.25">
      <c r="B5" s="27" t="s">
        <v>74</v>
      </c>
      <c r="C5" s="15" t="s">
        <v>0</v>
      </c>
      <c r="D5" s="15" t="s">
        <v>73</v>
      </c>
    </row>
    <row r="6" spans="2:9" ht="27.75" customHeight="1" x14ac:dyDescent="0.25">
      <c r="B6" s="10" t="s">
        <v>74</v>
      </c>
      <c r="C6" s="21" t="s">
        <v>59</v>
      </c>
      <c r="D6" s="17">
        <v>12224</v>
      </c>
    </row>
    <row r="7" spans="2:9" ht="15" customHeight="1" x14ac:dyDescent="0.25">
      <c r="B7" s="26" t="s">
        <v>74</v>
      </c>
      <c r="C7" s="4" t="s">
        <v>60</v>
      </c>
      <c r="D7" s="17">
        <v>1578</v>
      </c>
    </row>
    <row r="8" spans="2:9" x14ac:dyDescent="0.25">
      <c r="B8" s="26" t="s">
        <v>74</v>
      </c>
      <c r="C8" s="4" t="s">
        <v>61</v>
      </c>
      <c r="D8" s="17">
        <v>1194</v>
      </c>
    </row>
    <row r="9" spans="2:9" x14ac:dyDescent="0.25">
      <c r="B9" s="26" t="s">
        <v>74</v>
      </c>
      <c r="C9" s="4" t="s">
        <v>62</v>
      </c>
      <c r="D9" s="2">
        <v>172</v>
      </c>
    </row>
    <row r="10" spans="2:9" x14ac:dyDescent="0.25">
      <c r="B10" s="26" t="s">
        <v>74</v>
      </c>
      <c r="C10" s="4" t="s">
        <v>63</v>
      </c>
      <c r="D10" s="2">
        <v>88</v>
      </c>
    </row>
    <row r="11" spans="2:9" x14ac:dyDescent="0.25">
      <c r="B11" s="26" t="s">
        <v>74</v>
      </c>
      <c r="C11" s="4" t="s">
        <v>64</v>
      </c>
      <c r="D11" s="2">
        <v>47</v>
      </c>
    </row>
    <row r="13" spans="2:9" ht="30.75" customHeight="1" x14ac:dyDescent="0.25">
      <c r="B13" s="27" t="s">
        <v>76</v>
      </c>
      <c r="C13" s="18" t="s">
        <v>0</v>
      </c>
      <c r="D13" s="15" t="s">
        <v>73</v>
      </c>
    </row>
    <row r="14" spans="2:9" x14ac:dyDescent="0.25">
      <c r="B14" t="s">
        <v>76</v>
      </c>
      <c r="C14" s="21" t="s">
        <v>65</v>
      </c>
      <c r="D14" s="17">
        <v>56</v>
      </c>
    </row>
    <row r="15" spans="2:9" x14ac:dyDescent="0.25">
      <c r="B15" t="s">
        <v>76</v>
      </c>
      <c r="C15" s="21" t="s">
        <v>66</v>
      </c>
      <c r="D15" s="17">
        <v>501</v>
      </c>
    </row>
    <row r="16" spans="2:9" x14ac:dyDescent="0.25">
      <c r="B16" t="s">
        <v>76</v>
      </c>
      <c r="C16" s="21" t="s">
        <v>67</v>
      </c>
      <c r="D16" s="17">
        <v>770</v>
      </c>
    </row>
    <row r="17" spans="2:8" x14ac:dyDescent="0.25">
      <c r="B17" t="s">
        <v>76</v>
      </c>
      <c r="C17" s="21" t="s">
        <v>68</v>
      </c>
      <c r="D17" s="2">
        <v>132</v>
      </c>
    </row>
    <row r="18" spans="2:8" x14ac:dyDescent="0.25">
      <c r="B18" t="s">
        <v>76</v>
      </c>
      <c r="C18" s="21" t="s">
        <v>69</v>
      </c>
      <c r="D18" s="2">
        <v>92</v>
      </c>
    </row>
    <row r="19" spans="2:8" x14ac:dyDescent="0.25">
      <c r="B19" t="s">
        <v>76</v>
      </c>
      <c r="C19" s="21" t="s">
        <v>77</v>
      </c>
      <c r="D19" s="2">
        <v>9535</v>
      </c>
    </row>
    <row r="22" spans="2:8" x14ac:dyDescent="0.25">
      <c r="B22" s="6" t="s">
        <v>0</v>
      </c>
      <c r="C22" s="6" t="s">
        <v>17</v>
      </c>
      <c r="D22" s="6" t="s">
        <v>1</v>
      </c>
    </row>
    <row r="23" spans="2:8" x14ac:dyDescent="0.25">
      <c r="B23" t="s">
        <v>7</v>
      </c>
      <c r="C23" t="s">
        <v>8</v>
      </c>
      <c r="D23" s="2">
        <v>80.91</v>
      </c>
    </row>
    <row r="24" spans="2:8" x14ac:dyDescent="0.25">
      <c r="B24" t="s">
        <v>9</v>
      </c>
      <c r="C24" t="s">
        <v>10</v>
      </c>
      <c r="D24" s="2">
        <v>11.6</v>
      </c>
    </row>
    <row r="25" spans="2:8" x14ac:dyDescent="0.25">
      <c r="B25" t="s">
        <v>11</v>
      </c>
      <c r="C25" t="s">
        <v>12</v>
      </c>
      <c r="D25" s="2">
        <v>1.04</v>
      </c>
    </row>
    <row r="26" spans="2:8" x14ac:dyDescent="0.25">
      <c r="B26" t="s">
        <v>13</v>
      </c>
      <c r="C26" t="s">
        <v>48</v>
      </c>
      <c r="D26" s="2">
        <v>0.06</v>
      </c>
      <c r="E26" s="2"/>
      <c r="F26" s="2"/>
      <c r="G26" s="2"/>
      <c r="H26" s="2"/>
    </row>
    <row r="27" spans="2:8" ht="30" x14ac:dyDescent="0.25">
      <c r="B27" s="8" t="s">
        <v>14</v>
      </c>
      <c r="C27" s="10" t="s">
        <v>49</v>
      </c>
      <c r="D27" s="2">
        <v>0.01</v>
      </c>
      <c r="E27" s="2"/>
      <c r="F27" s="2"/>
      <c r="G27" s="2"/>
      <c r="H27" s="2"/>
    </row>
    <row r="28" spans="2:8" x14ac:dyDescent="0.25">
      <c r="B28" t="s">
        <v>15</v>
      </c>
      <c r="C28" t="s">
        <v>16</v>
      </c>
      <c r="D28" s="2">
        <v>0.03</v>
      </c>
      <c r="E28" s="2"/>
      <c r="F28" s="2"/>
      <c r="G28" s="2"/>
      <c r="H28" s="2"/>
    </row>
    <row r="29" spans="2:8" x14ac:dyDescent="0.25">
      <c r="B29" t="s">
        <v>50</v>
      </c>
      <c r="D29" s="2">
        <v>4.28</v>
      </c>
      <c r="E29" s="2"/>
      <c r="F29" s="2"/>
      <c r="G29" s="2"/>
      <c r="H29" s="2"/>
    </row>
    <row r="30" spans="2:8" x14ac:dyDescent="0.25">
      <c r="B30" t="s">
        <v>19</v>
      </c>
      <c r="D30" s="2">
        <v>2.0699999999999998</v>
      </c>
      <c r="E30" s="2"/>
      <c r="F30" s="2"/>
      <c r="G30" s="2"/>
      <c r="H30" s="2"/>
    </row>
    <row r="32" spans="2:8" x14ac:dyDescent="0.25">
      <c r="B32" s="25" t="s">
        <v>20</v>
      </c>
      <c r="C32" s="25"/>
    </row>
    <row r="33" spans="2:8" x14ac:dyDescent="0.25">
      <c r="B33" s="6" t="s">
        <v>21</v>
      </c>
      <c r="C33" s="6" t="s">
        <v>24</v>
      </c>
      <c r="D33" s="6" t="s">
        <v>23</v>
      </c>
      <c r="E33" s="6" t="s">
        <v>22</v>
      </c>
      <c r="F33" s="2"/>
      <c r="G33" s="2"/>
      <c r="H33" s="2"/>
    </row>
    <row r="34" spans="2:8" x14ac:dyDescent="0.25">
      <c r="B34" t="s">
        <v>25</v>
      </c>
      <c r="C34" s="2">
        <v>2304869</v>
      </c>
      <c r="D34" s="2">
        <v>1636399</v>
      </c>
      <c r="E34" s="2">
        <v>668470</v>
      </c>
      <c r="F34" s="2"/>
      <c r="G34" s="2"/>
      <c r="H34" s="2"/>
    </row>
    <row r="35" spans="2:8" x14ac:dyDescent="0.25">
      <c r="B35" s="6" t="s">
        <v>26</v>
      </c>
      <c r="C35" s="6">
        <f>SUM(C36:C38)</f>
        <v>2333</v>
      </c>
      <c r="D35" s="6">
        <f t="shared" ref="D35" si="0">SUM(D36:D38)</f>
        <v>313</v>
      </c>
      <c r="E35" s="6">
        <f>SUM(E36:E38)</f>
        <v>2020</v>
      </c>
      <c r="F35" s="2"/>
      <c r="G35" s="2"/>
      <c r="H35" s="2"/>
    </row>
    <row r="36" spans="2:8" x14ac:dyDescent="0.25">
      <c r="B36" t="s">
        <v>4</v>
      </c>
      <c r="C36" s="2">
        <v>1437</v>
      </c>
      <c r="D36" s="3">
        <v>190</v>
      </c>
      <c r="E36" s="1">
        <v>1247</v>
      </c>
      <c r="F36" s="2"/>
      <c r="G36" s="2"/>
      <c r="H36" s="2"/>
    </row>
    <row r="37" spans="2:8" x14ac:dyDescent="0.25">
      <c r="B37" t="s">
        <v>5</v>
      </c>
      <c r="C37" s="2">
        <v>259</v>
      </c>
      <c r="D37" s="3">
        <v>41</v>
      </c>
      <c r="E37" s="3">
        <v>218</v>
      </c>
      <c r="F37" s="2"/>
      <c r="G37" s="2"/>
      <c r="H37" s="2"/>
    </row>
    <row r="38" spans="2:8" x14ac:dyDescent="0.25">
      <c r="B38" t="s">
        <v>6</v>
      </c>
      <c r="C38" s="2">
        <v>637</v>
      </c>
      <c r="D38" s="3">
        <v>82</v>
      </c>
      <c r="E38" s="3">
        <v>555</v>
      </c>
      <c r="F38" s="2"/>
      <c r="G38" s="2"/>
      <c r="H38" s="2"/>
    </row>
    <row r="39" spans="2:8" x14ac:dyDescent="0.25">
      <c r="B39" s="6" t="s">
        <v>27</v>
      </c>
      <c r="C39" s="6">
        <v>2156191</v>
      </c>
      <c r="D39" s="6">
        <v>1516270</v>
      </c>
      <c r="E39" s="6">
        <v>639921</v>
      </c>
      <c r="F39" s="2"/>
      <c r="G39" s="2"/>
      <c r="H39" s="2"/>
    </row>
    <row r="40" spans="2:8" x14ac:dyDescent="0.25">
      <c r="B40" t="s">
        <v>4</v>
      </c>
      <c r="C40" s="2">
        <v>1864928</v>
      </c>
      <c r="D40" s="12">
        <v>1366383</v>
      </c>
      <c r="E40" s="12">
        <v>498545</v>
      </c>
      <c r="F40" s="2"/>
      <c r="G40" s="2"/>
      <c r="H40" s="2"/>
    </row>
    <row r="41" spans="2:8" x14ac:dyDescent="0.25">
      <c r="B41" t="s">
        <v>5</v>
      </c>
      <c r="C41" s="2">
        <v>267313</v>
      </c>
      <c r="D41" s="12">
        <v>136363</v>
      </c>
      <c r="E41" s="12">
        <v>130950</v>
      </c>
      <c r="F41" s="2"/>
      <c r="G41" s="2"/>
      <c r="H41" s="2"/>
    </row>
    <row r="42" spans="2:8" x14ac:dyDescent="0.25">
      <c r="B42" t="s">
        <v>6</v>
      </c>
      <c r="C42" s="2">
        <v>23950</v>
      </c>
      <c r="D42" s="12">
        <v>13524</v>
      </c>
      <c r="E42" s="12">
        <v>10426</v>
      </c>
      <c r="F42" s="2"/>
      <c r="G42" s="2"/>
      <c r="H42" s="2"/>
    </row>
    <row r="43" spans="2:8" x14ac:dyDescent="0.25">
      <c r="B43" t="s">
        <v>18</v>
      </c>
      <c r="C43" s="2">
        <v>98723</v>
      </c>
      <c r="D43" s="12">
        <v>92798</v>
      </c>
      <c r="E43" s="12">
        <v>5925</v>
      </c>
      <c r="F43" s="2"/>
      <c r="G43" s="2"/>
      <c r="H43" s="2"/>
    </row>
    <row r="44" spans="2:8" x14ac:dyDescent="0.25">
      <c r="B44" t="s">
        <v>19</v>
      </c>
      <c r="C44" s="2">
        <v>47622</v>
      </c>
      <c r="D44" s="12">
        <v>27018</v>
      </c>
      <c r="E44" s="12">
        <v>20604</v>
      </c>
      <c r="F44" s="2"/>
      <c r="G44" s="2"/>
      <c r="H44" s="2"/>
    </row>
    <row r="45" spans="2:8" x14ac:dyDescent="0.25">
      <c r="F45" s="2"/>
      <c r="G45" s="2"/>
      <c r="H45" s="2"/>
    </row>
    <row r="46" spans="2:8" x14ac:dyDescent="0.25">
      <c r="B46" s="16" t="s">
        <v>0</v>
      </c>
      <c r="C46" s="16" t="s">
        <v>1</v>
      </c>
    </row>
    <row r="47" spans="2:8" x14ac:dyDescent="0.25">
      <c r="B47" s="5" t="s">
        <v>35</v>
      </c>
      <c r="C47" s="2">
        <v>19.64</v>
      </c>
    </row>
    <row r="48" spans="2:8" x14ac:dyDescent="0.25">
      <c r="B48" s="4" t="s">
        <v>23</v>
      </c>
      <c r="C48" s="2">
        <v>10.65</v>
      </c>
    </row>
    <row r="49" spans="2:8" x14ac:dyDescent="0.25">
      <c r="B49" s="4" t="s">
        <v>22</v>
      </c>
      <c r="C49" s="2">
        <v>42.5</v>
      </c>
    </row>
    <row r="50" spans="2:8" x14ac:dyDescent="0.25">
      <c r="B50" s="5" t="s">
        <v>2</v>
      </c>
      <c r="C50" s="2">
        <v>16.78</v>
      </c>
    </row>
    <row r="51" spans="2:8" x14ac:dyDescent="0.25">
      <c r="B51" s="4" t="s">
        <v>23</v>
      </c>
      <c r="C51" s="2">
        <v>15.62</v>
      </c>
    </row>
    <row r="52" spans="2:8" x14ac:dyDescent="0.25">
      <c r="B52" s="4" t="s">
        <v>22</v>
      </c>
      <c r="C52" s="2">
        <v>19.73</v>
      </c>
    </row>
    <row r="53" spans="2:8" x14ac:dyDescent="0.25">
      <c r="B53" s="5" t="s">
        <v>3</v>
      </c>
      <c r="C53" s="2">
        <v>63.58</v>
      </c>
    </row>
    <row r="54" spans="2:8" x14ac:dyDescent="0.25">
      <c r="B54" s="4" t="s">
        <v>23</v>
      </c>
      <c r="C54" s="2">
        <v>73.73</v>
      </c>
    </row>
    <row r="55" spans="2:8" x14ac:dyDescent="0.25">
      <c r="B55" s="4" t="s">
        <v>22</v>
      </c>
      <c r="C55" s="2">
        <v>37.770000000000003</v>
      </c>
    </row>
    <row r="59" spans="2:8" x14ac:dyDescent="0.25">
      <c r="B59" s="24" t="s">
        <v>29</v>
      </c>
      <c r="C59" s="24" t="s">
        <v>52</v>
      </c>
      <c r="D59" s="24" t="s">
        <v>30</v>
      </c>
      <c r="E59" s="24" t="s">
        <v>31</v>
      </c>
      <c r="F59" s="24" t="s">
        <v>32</v>
      </c>
      <c r="G59" s="24" t="s">
        <v>33</v>
      </c>
      <c r="H59" s="24" t="s">
        <v>34</v>
      </c>
    </row>
    <row r="60" spans="2:8" ht="15.75" x14ac:dyDescent="0.25">
      <c r="B60" s="11" t="s">
        <v>51</v>
      </c>
      <c r="C60" s="23">
        <v>2304869</v>
      </c>
      <c r="D60" s="14">
        <v>2.78785644270845</v>
      </c>
      <c r="E60" s="14">
        <v>10.275138840452893</v>
      </c>
      <c r="F60" s="14">
        <v>6.9518203881421963</v>
      </c>
      <c r="G60" s="14">
        <v>13.126763390636997</v>
      </c>
      <c r="H60" s="14">
        <v>66.858420938059467</v>
      </c>
    </row>
    <row r="62" spans="2:8" x14ac:dyDescent="0.25">
      <c r="B62" s="18" t="s">
        <v>38</v>
      </c>
      <c r="C62" s="18" t="s">
        <v>36</v>
      </c>
      <c r="D62" s="18" t="s">
        <v>1</v>
      </c>
    </row>
    <row r="63" spans="2:8" x14ac:dyDescent="0.25">
      <c r="B63" s="7" t="s">
        <v>37</v>
      </c>
      <c r="C63" t="s">
        <v>36</v>
      </c>
      <c r="D63" s="2">
        <v>22.36</v>
      </c>
    </row>
    <row r="64" spans="2:8" x14ac:dyDescent="0.25">
      <c r="B64" s="9" t="s">
        <v>39</v>
      </c>
      <c r="C64" t="s">
        <v>36</v>
      </c>
      <c r="D64" s="2">
        <v>61.02</v>
      </c>
    </row>
    <row r="65" spans="2:4" x14ac:dyDescent="0.25">
      <c r="B65" s="9" t="s">
        <v>40</v>
      </c>
      <c r="C65" t="s">
        <v>36</v>
      </c>
      <c r="D65" s="2">
        <v>9.5500000000000007</v>
      </c>
    </row>
    <row r="66" spans="2:4" x14ac:dyDescent="0.25">
      <c r="B66" s="13" t="s">
        <v>41</v>
      </c>
      <c r="C66" t="s">
        <v>36</v>
      </c>
      <c r="D66" s="2">
        <v>0.2</v>
      </c>
    </row>
    <row r="67" spans="2:4" x14ac:dyDescent="0.25">
      <c r="B67" s="4" t="s">
        <v>42</v>
      </c>
      <c r="C67" t="s">
        <v>36</v>
      </c>
      <c r="D67" s="2">
        <v>0.16</v>
      </c>
    </row>
    <row r="68" spans="2:4" x14ac:dyDescent="0.25">
      <c r="B68" s="4" t="s">
        <v>28</v>
      </c>
      <c r="C68" t="s">
        <v>36</v>
      </c>
      <c r="D68" s="2">
        <v>6.71</v>
      </c>
    </row>
    <row r="70" spans="2:4" x14ac:dyDescent="0.25">
      <c r="B70" s="18" t="s">
        <v>38</v>
      </c>
      <c r="C70" s="18" t="s">
        <v>43</v>
      </c>
      <c r="D70" s="18" t="s">
        <v>1</v>
      </c>
    </row>
    <row r="71" spans="2:4" x14ac:dyDescent="0.25">
      <c r="B71" s="7" t="s">
        <v>44</v>
      </c>
      <c r="C71" t="s">
        <v>43</v>
      </c>
      <c r="D71" s="2">
        <v>6.64</v>
      </c>
    </row>
    <row r="72" spans="2:4" x14ac:dyDescent="0.25">
      <c r="B72" s="9" t="s">
        <v>45</v>
      </c>
      <c r="C72" t="s">
        <v>43</v>
      </c>
      <c r="D72" s="3">
        <v>3.46</v>
      </c>
    </row>
    <row r="73" spans="2:4" x14ac:dyDescent="0.25">
      <c r="B73" s="9" t="s">
        <v>46</v>
      </c>
      <c r="C73" t="s">
        <v>43</v>
      </c>
      <c r="D73" s="3">
        <v>23.53</v>
      </c>
    </row>
    <row r="74" spans="2:4" x14ac:dyDescent="0.25">
      <c r="B74" s="9" t="s">
        <v>40</v>
      </c>
      <c r="C74" t="s">
        <v>43</v>
      </c>
      <c r="D74" s="3">
        <v>58.78</v>
      </c>
    </row>
    <row r="75" spans="2:4" x14ac:dyDescent="0.25">
      <c r="B75" s="4" t="s">
        <v>47</v>
      </c>
      <c r="C75" t="s">
        <v>43</v>
      </c>
      <c r="D75" s="3">
        <v>0.57999999999999996</v>
      </c>
    </row>
    <row r="76" spans="2:4" x14ac:dyDescent="0.25">
      <c r="B76" s="4" t="s">
        <v>28</v>
      </c>
      <c r="C76" t="s">
        <v>43</v>
      </c>
      <c r="D76" s="3">
        <v>7.02</v>
      </c>
    </row>
    <row r="79" spans="2:4" x14ac:dyDescent="0.25">
      <c r="B79" s="27" t="s">
        <v>70</v>
      </c>
      <c r="C79" s="19" t="s">
        <v>71</v>
      </c>
      <c r="D79" s="15" t="s">
        <v>72</v>
      </c>
    </row>
    <row r="80" spans="2:4" x14ac:dyDescent="0.25">
      <c r="B80" s="22" t="s">
        <v>70</v>
      </c>
      <c r="C80" s="20">
        <v>27192.600000000006</v>
      </c>
      <c r="D80" s="20">
        <v>20373.2</v>
      </c>
    </row>
  </sheetData>
  <mergeCells count="1">
    <mergeCell ref="B32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Baloch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2026-03-13T05:49:57Z</dcterms:modified>
</cp:coreProperties>
</file>