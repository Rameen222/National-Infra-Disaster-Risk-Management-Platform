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A &amp; PD\Infra portal data\Provincial &amp; District data Salman\Balochistan\"/>
    </mc:Choice>
  </mc:AlternateContent>
  <xr:revisionPtr revIDLastSave="0" documentId="13_ncr:1_{0F93CC33-E4DE-4AAD-90EF-BF190D8F48C7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Baloch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3" l="1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2" i="3"/>
  <c r="E26" i="3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7" i="3"/>
  <c r="E28" i="3"/>
  <c r="E29" i="3"/>
  <c r="E30" i="3"/>
  <c r="E31" i="3"/>
  <c r="E32" i="3"/>
  <c r="E33" i="3"/>
  <c r="N33" i="3" s="1"/>
  <c r="E34" i="3"/>
  <c r="N34" i="3" s="1"/>
  <c r="E35" i="3"/>
  <c r="N35" i="3" s="1"/>
</calcChain>
</file>

<file path=xl/sharedStrings.xml><?xml version="1.0" encoding="utf-8"?>
<sst xmlns="http://schemas.openxmlformats.org/spreadsheetml/2006/main" count="97" uniqueCount="62">
  <si>
    <t>Total</t>
  </si>
  <si>
    <t>Brick Masonry</t>
  </si>
  <si>
    <t>Block Masonry</t>
  </si>
  <si>
    <t>Stone Masonry</t>
  </si>
  <si>
    <t>Timber</t>
  </si>
  <si>
    <t>Adobe</t>
  </si>
  <si>
    <t>Awaran</t>
  </si>
  <si>
    <t>Barkhan</t>
  </si>
  <si>
    <t>Chagai</t>
  </si>
  <si>
    <t>Dera Bugti</t>
  </si>
  <si>
    <t>Gwadar</t>
  </si>
  <si>
    <t>Harnai</t>
  </si>
  <si>
    <t>Jaffarabad</t>
  </si>
  <si>
    <t>Jhal Magsi</t>
  </si>
  <si>
    <t>Kachhi</t>
  </si>
  <si>
    <t>Kalat</t>
  </si>
  <si>
    <t>Kech</t>
  </si>
  <si>
    <t>Kharan</t>
  </si>
  <si>
    <t>Khuzdar</t>
  </si>
  <si>
    <t>Killa Abdullah</t>
  </si>
  <si>
    <t>Killa Saifullah</t>
  </si>
  <si>
    <t>Kohlu</t>
  </si>
  <si>
    <t>Lasbela</t>
  </si>
  <si>
    <t>Loralai</t>
  </si>
  <si>
    <t>Mastung</t>
  </si>
  <si>
    <t>Musakhel</t>
  </si>
  <si>
    <t>Nasirabad</t>
  </si>
  <si>
    <t>Nushki</t>
  </si>
  <si>
    <t>Panjgur</t>
  </si>
  <si>
    <t>Pishin</t>
  </si>
  <si>
    <t>Quetta</t>
  </si>
  <si>
    <t>Sherani</t>
  </si>
  <si>
    <t>Sibi</t>
  </si>
  <si>
    <t>Sohbatpur</t>
  </si>
  <si>
    <t>Washuk</t>
  </si>
  <si>
    <t>Zhob</t>
  </si>
  <si>
    <t>Ziarat</t>
  </si>
  <si>
    <t xml:space="preserve">Balochistan </t>
  </si>
  <si>
    <t>Total Str</t>
  </si>
  <si>
    <t>Chaman</t>
  </si>
  <si>
    <t>Duki</t>
  </si>
  <si>
    <t>Surab</t>
  </si>
  <si>
    <t>Population</t>
  </si>
  <si>
    <t>Male</t>
  </si>
  <si>
    <t>Female</t>
  </si>
  <si>
    <t>Area</t>
  </si>
  <si>
    <t>DENSITY /SQ.K.M</t>
  </si>
  <si>
    <t>AVR H.H SIZE</t>
  </si>
  <si>
    <t>Primary</t>
  </si>
  <si>
    <t>Middle</t>
  </si>
  <si>
    <t>High</t>
  </si>
  <si>
    <t>High Sec</t>
  </si>
  <si>
    <t>Inter Clgs</t>
  </si>
  <si>
    <t>Deg Clgs</t>
  </si>
  <si>
    <t>Hospitals</t>
  </si>
  <si>
    <t>Dispensaries</t>
  </si>
  <si>
    <t>TB Clinics</t>
  </si>
  <si>
    <t>RHCs</t>
  </si>
  <si>
    <t>BHUs</t>
  </si>
  <si>
    <t xml:space="preserve">MCH </t>
  </si>
  <si>
    <t>Black Top</t>
  </si>
  <si>
    <t>Shingle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</si>
</sst>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;\-0.00;\-"/>
    <numFmt numFmtId="166" formatCode="#,##0;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Calibri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5" fillId="0" borderId="0">
      <alignment vertical="top"/>
    </xf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3" fontId="0" fillId="0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66" fontId="6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</cellXfs>
  <cellStyles count="3">
    <cellStyle name="40% - Accent1" xfId="1" builtinId="31"/>
    <cellStyle name="Normal" xfId="0" builtinId="0"/>
    <cellStyle name="Normal 2" xfId="2" xr:uid="{70866CB7-AFE8-4258-B366-0A8B05BC7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ACF2-2C17-4FEA-9FE4-D89A7779784D}">
  <dimension ref="A1:AC42"/>
  <sheetViews>
    <sheetView tabSelected="1" topLeftCell="C1" zoomScale="70" zoomScaleNormal="70" workbookViewId="0">
      <selection activeCell="L18" sqref="L18"/>
    </sheetView>
  </sheetViews>
  <sheetFormatPr defaultRowHeight="15" x14ac:dyDescent="0.25"/>
  <cols>
    <col min="1" max="2" width="29" style="3" customWidth="1"/>
    <col min="3" max="3" width="13.5703125" bestFit="1" customWidth="1"/>
    <col min="4" max="4" width="14" bestFit="1" customWidth="1"/>
    <col min="5" max="5" width="14.42578125" bestFit="1" customWidth="1"/>
    <col min="6" max="6" width="17.7109375" style="2" bestFit="1" customWidth="1"/>
    <col min="7" max="7" width="16.140625" style="2" customWidth="1"/>
    <col min="8" max="8" width="14.42578125" style="2" customWidth="1"/>
    <col min="9" max="9" width="13.5703125" bestFit="1" customWidth="1"/>
    <col min="10" max="10" width="14" bestFit="1" customWidth="1"/>
    <col min="11" max="11" width="14.42578125" bestFit="1" customWidth="1"/>
    <col min="12" max="12" width="20.7109375" bestFit="1" customWidth="1"/>
    <col min="13" max="13" width="6.85546875" bestFit="1" customWidth="1"/>
    <col min="14" max="14" width="11.42578125" bestFit="1" customWidth="1"/>
    <col min="15" max="15" width="17.7109375" style="1" customWidth="1"/>
    <col min="16" max="16" width="9.140625" style="1" bestFit="1" customWidth="1"/>
    <col min="17" max="17" width="8.140625" style="1" customWidth="1"/>
    <col min="18" max="18" width="8.42578125" style="1" bestFit="1" customWidth="1"/>
    <col min="19" max="19" width="6.85546875" style="1" bestFit="1" customWidth="1"/>
    <col min="20" max="20" width="8.42578125" style="1" bestFit="1" customWidth="1"/>
    <col min="21" max="21" width="15.5703125" bestFit="1" customWidth="1"/>
    <col min="22" max="22" width="18.85546875" customWidth="1"/>
    <col min="23" max="23" width="17.28515625" customWidth="1"/>
    <col min="24" max="24" width="8.42578125" bestFit="1" customWidth="1"/>
    <col min="25" max="25" width="9.28515625" bestFit="1" customWidth="1"/>
    <col min="26" max="26" width="8.42578125" bestFit="1" customWidth="1"/>
    <col min="27" max="27" width="9.140625" style="2"/>
    <col min="29" max="29" width="10.42578125" customWidth="1"/>
  </cols>
  <sheetData>
    <row r="1" spans="1:29" s="7" customFormat="1" ht="31.5" x14ac:dyDescent="0.25">
      <c r="A1" s="8" t="s">
        <v>37</v>
      </c>
      <c r="B1" s="9" t="s">
        <v>42</v>
      </c>
      <c r="C1" s="9" t="s">
        <v>43</v>
      </c>
      <c r="D1" s="9" t="s">
        <v>44</v>
      </c>
      <c r="E1" s="9" t="s">
        <v>0</v>
      </c>
      <c r="F1" s="9" t="s">
        <v>45</v>
      </c>
      <c r="G1" s="9" t="s">
        <v>46</v>
      </c>
      <c r="H1" s="9" t="s">
        <v>47</v>
      </c>
      <c r="I1" s="10" t="s">
        <v>1</v>
      </c>
      <c r="J1" s="10" t="s">
        <v>2</v>
      </c>
      <c r="K1" s="10" t="s">
        <v>3</v>
      </c>
      <c r="L1" s="10" t="s">
        <v>4</v>
      </c>
      <c r="M1" s="10" t="s">
        <v>5</v>
      </c>
      <c r="N1" s="10" t="s">
        <v>38</v>
      </c>
      <c r="O1" s="11" t="s">
        <v>48</v>
      </c>
      <c r="P1" s="8" t="s">
        <v>49</v>
      </c>
      <c r="Q1" s="11" t="s">
        <v>50</v>
      </c>
      <c r="R1" s="8" t="s">
        <v>51</v>
      </c>
      <c r="S1" s="11" t="s">
        <v>52</v>
      </c>
      <c r="T1" s="8" t="s">
        <v>53</v>
      </c>
      <c r="U1" s="11" t="s">
        <v>54</v>
      </c>
      <c r="V1" s="8" t="s">
        <v>55</v>
      </c>
      <c r="W1" s="11" t="s">
        <v>56</v>
      </c>
      <c r="X1" s="8" t="s">
        <v>57</v>
      </c>
      <c r="Y1" s="11" t="s">
        <v>58</v>
      </c>
      <c r="Z1" s="8" t="s">
        <v>59</v>
      </c>
      <c r="AA1" s="8" t="s">
        <v>0</v>
      </c>
      <c r="AB1" s="8" t="s">
        <v>60</v>
      </c>
      <c r="AC1" s="8" t="s">
        <v>61</v>
      </c>
    </row>
    <row r="2" spans="1:29" ht="15.75" x14ac:dyDescent="0.25">
      <c r="A2" s="12" t="s">
        <v>6</v>
      </c>
      <c r="B2" s="13" t="s">
        <v>42</v>
      </c>
      <c r="C2" s="14">
        <v>91640</v>
      </c>
      <c r="D2" s="14">
        <v>87318</v>
      </c>
      <c r="E2" s="14">
        <f>SUM(C2:D2)</f>
        <v>178958</v>
      </c>
      <c r="F2" s="14">
        <v>29510</v>
      </c>
      <c r="G2" s="15">
        <v>6.0643171806167402</v>
      </c>
      <c r="H2" s="16">
        <v>6.4</v>
      </c>
      <c r="I2" s="17">
        <v>1.4488715519643354</v>
      </c>
      <c r="J2" s="17">
        <v>8.6765115631095018</v>
      </c>
      <c r="K2" s="17">
        <v>1.0755084981889105</v>
      </c>
      <c r="L2" s="17">
        <v>34.5555865143494</v>
      </c>
      <c r="M2" s="17">
        <v>54.243521872387852</v>
      </c>
      <c r="N2" s="18">
        <v>17945</v>
      </c>
      <c r="O2" s="19">
        <v>302</v>
      </c>
      <c r="P2" s="20">
        <v>36</v>
      </c>
      <c r="Q2" s="19">
        <v>40</v>
      </c>
      <c r="R2" s="21">
        <v>5</v>
      </c>
      <c r="S2" s="21">
        <v>3</v>
      </c>
      <c r="T2" s="21">
        <v>0</v>
      </c>
      <c r="U2" s="19">
        <v>1</v>
      </c>
      <c r="V2" s="20">
        <v>13</v>
      </c>
      <c r="W2" s="19">
        <v>1</v>
      </c>
      <c r="X2" s="21">
        <v>2</v>
      </c>
      <c r="Y2" s="21">
        <v>7</v>
      </c>
      <c r="Z2" s="21">
        <v>1</v>
      </c>
      <c r="AA2" s="21">
        <f>SUM(U2:Z2)</f>
        <v>25</v>
      </c>
      <c r="AB2" s="19">
        <v>550.15</v>
      </c>
      <c r="AC2" s="19">
        <v>1282</v>
      </c>
    </row>
    <row r="3" spans="1:29" ht="15.75" x14ac:dyDescent="0.25">
      <c r="A3" s="12" t="s">
        <v>7</v>
      </c>
      <c r="B3" s="13" t="s">
        <v>42</v>
      </c>
      <c r="C3" s="22">
        <v>109624</v>
      </c>
      <c r="D3" s="22">
        <v>100617</v>
      </c>
      <c r="E3" s="14">
        <f t="shared" ref="E3:E35" si="0">SUM(C3:D3)</f>
        <v>210241</v>
      </c>
      <c r="F3" s="14">
        <v>3514</v>
      </c>
      <c r="G3" s="15">
        <v>59.831815594763803</v>
      </c>
      <c r="H3" s="16">
        <v>9.1</v>
      </c>
      <c r="I3" s="17">
        <v>0.99719935500297041</v>
      </c>
      <c r="J3" s="17">
        <v>4.1924806925231266</v>
      </c>
      <c r="K3" s="17">
        <v>13.816515318679453</v>
      </c>
      <c r="L3" s="17">
        <v>14.966477128065858</v>
      </c>
      <c r="M3" s="17">
        <v>66.027327505728593</v>
      </c>
      <c r="N3" s="18">
        <v>23566</v>
      </c>
      <c r="O3" s="19">
        <v>589</v>
      </c>
      <c r="P3" s="20">
        <v>42</v>
      </c>
      <c r="Q3" s="19">
        <v>24</v>
      </c>
      <c r="R3" s="21">
        <v>6</v>
      </c>
      <c r="S3" s="21">
        <v>2</v>
      </c>
      <c r="T3" s="21">
        <v>0</v>
      </c>
      <c r="U3" s="19">
        <v>1</v>
      </c>
      <c r="V3" s="20">
        <v>9</v>
      </c>
      <c r="W3" s="19">
        <v>0</v>
      </c>
      <c r="X3" s="21">
        <v>0</v>
      </c>
      <c r="Y3" s="21">
        <v>10</v>
      </c>
      <c r="Z3" s="21">
        <v>2</v>
      </c>
      <c r="AA3" s="21">
        <f t="shared" ref="AA3:AA35" si="1">SUM(U3:Z3)</f>
        <v>22</v>
      </c>
      <c r="AB3" s="19">
        <v>637</v>
      </c>
      <c r="AC3" s="19">
        <v>334</v>
      </c>
    </row>
    <row r="4" spans="1:29" ht="15.75" x14ac:dyDescent="0.25">
      <c r="A4" s="12" t="s">
        <v>8</v>
      </c>
      <c r="B4" s="13" t="s">
        <v>42</v>
      </c>
      <c r="C4" s="23">
        <v>139927</v>
      </c>
      <c r="D4" s="22">
        <v>129265</v>
      </c>
      <c r="E4" s="14">
        <f t="shared" si="0"/>
        <v>269192</v>
      </c>
      <c r="F4" s="14">
        <v>44748</v>
      </c>
      <c r="G4" s="15">
        <v>6.0157325467059977</v>
      </c>
      <c r="H4" s="16">
        <v>7</v>
      </c>
      <c r="I4" s="17">
        <v>1.0273752012882447</v>
      </c>
      <c r="J4" s="17">
        <v>3.136876006441224</v>
      </c>
      <c r="K4" s="17">
        <v>1.6457326892109501</v>
      </c>
      <c r="L4" s="17">
        <v>5.6199677938808374</v>
      </c>
      <c r="M4" s="17">
        <v>88.570048309178745</v>
      </c>
      <c r="N4" s="18">
        <v>31050</v>
      </c>
      <c r="O4" s="19">
        <v>248</v>
      </c>
      <c r="P4" s="20">
        <v>36</v>
      </c>
      <c r="Q4" s="19">
        <v>25</v>
      </c>
      <c r="R4" s="21">
        <v>8</v>
      </c>
      <c r="S4" s="21">
        <v>2</v>
      </c>
      <c r="T4" s="21">
        <v>1</v>
      </c>
      <c r="U4" s="19">
        <v>2</v>
      </c>
      <c r="V4" s="20">
        <v>11</v>
      </c>
      <c r="W4" s="19">
        <v>0</v>
      </c>
      <c r="X4" s="21">
        <v>4</v>
      </c>
      <c r="Y4" s="21">
        <v>20</v>
      </c>
      <c r="Z4" s="21">
        <v>4</v>
      </c>
      <c r="AA4" s="21">
        <f t="shared" si="1"/>
        <v>41</v>
      </c>
      <c r="AB4" s="19">
        <v>1291.43</v>
      </c>
      <c r="AC4" s="19">
        <v>1161.8399999999999</v>
      </c>
    </row>
    <row r="5" spans="1:29" ht="15.75" x14ac:dyDescent="0.25">
      <c r="A5" s="12" t="s">
        <v>9</v>
      </c>
      <c r="B5" s="13" t="s">
        <v>42</v>
      </c>
      <c r="C5" s="23">
        <v>194591</v>
      </c>
      <c r="D5" s="22">
        <v>160683</v>
      </c>
      <c r="E5" s="14">
        <f t="shared" si="0"/>
        <v>355274</v>
      </c>
      <c r="F5" s="14">
        <v>10160</v>
      </c>
      <c r="G5" s="15">
        <v>34.967913385826776</v>
      </c>
      <c r="H5" s="16">
        <v>5.7</v>
      </c>
      <c r="I5" s="17">
        <v>0.69532856723141712</v>
      </c>
      <c r="J5" s="17">
        <v>10.116540985212026</v>
      </c>
      <c r="K5" s="17">
        <v>6.9043188718049162</v>
      </c>
      <c r="L5" s="17">
        <v>25.717363627460582</v>
      </c>
      <c r="M5" s="17">
        <v>56.566447948291056</v>
      </c>
      <c r="N5" s="18">
        <v>40844</v>
      </c>
      <c r="O5" s="19">
        <v>320</v>
      </c>
      <c r="P5" s="20">
        <v>40</v>
      </c>
      <c r="Q5" s="19">
        <v>38</v>
      </c>
      <c r="R5" s="21">
        <v>4</v>
      </c>
      <c r="S5" s="21">
        <v>4</v>
      </c>
      <c r="T5" s="21">
        <v>1</v>
      </c>
      <c r="U5" s="19">
        <v>2</v>
      </c>
      <c r="V5" s="20">
        <v>25</v>
      </c>
      <c r="W5" s="19">
        <v>0</v>
      </c>
      <c r="X5" s="21">
        <v>1</v>
      </c>
      <c r="Y5" s="21">
        <v>36</v>
      </c>
      <c r="Z5" s="21">
        <v>3</v>
      </c>
      <c r="AA5" s="21">
        <f t="shared" si="1"/>
        <v>67</v>
      </c>
      <c r="AB5" s="19">
        <v>694.13</v>
      </c>
      <c r="AC5" s="19">
        <v>602</v>
      </c>
    </row>
    <row r="6" spans="1:29" ht="15.75" x14ac:dyDescent="0.25">
      <c r="A6" s="12" t="s">
        <v>10</v>
      </c>
      <c r="B6" s="13" t="s">
        <v>42</v>
      </c>
      <c r="C6" s="23">
        <v>160775</v>
      </c>
      <c r="D6" s="22">
        <v>144385</v>
      </c>
      <c r="E6" s="14">
        <f t="shared" si="0"/>
        <v>305160</v>
      </c>
      <c r="F6" s="14">
        <v>12637</v>
      </c>
      <c r="G6" s="15">
        <v>24.148136424784362</v>
      </c>
      <c r="H6" s="16">
        <v>6</v>
      </c>
      <c r="I6" s="17">
        <v>4.1282412932624499</v>
      </c>
      <c r="J6" s="17">
        <v>46.349137463382881</v>
      </c>
      <c r="K6" s="17">
        <v>8.0584788976890529</v>
      </c>
      <c r="L6" s="17">
        <v>17.378214169469459</v>
      </c>
      <c r="M6" s="17">
        <v>24.085928176196159</v>
      </c>
      <c r="N6" s="18">
        <v>36868</v>
      </c>
      <c r="O6" s="19">
        <v>226</v>
      </c>
      <c r="P6" s="20">
        <v>45</v>
      </c>
      <c r="Q6" s="19">
        <v>37</v>
      </c>
      <c r="R6" s="21">
        <v>4</v>
      </c>
      <c r="S6" s="21">
        <v>4</v>
      </c>
      <c r="T6" s="21">
        <v>1</v>
      </c>
      <c r="U6" s="19">
        <v>1</v>
      </c>
      <c r="V6" s="20">
        <v>14</v>
      </c>
      <c r="W6" s="19">
        <v>1</v>
      </c>
      <c r="X6" s="21">
        <v>4</v>
      </c>
      <c r="Y6" s="21">
        <v>23</v>
      </c>
      <c r="Z6" s="21">
        <v>3</v>
      </c>
      <c r="AA6" s="21">
        <f t="shared" si="1"/>
        <v>46</v>
      </c>
      <c r="AB6" s="19">
        <v>539.89</v>
      </c>
      <c r="AC6" s="19">
        <v>934</v>
      </c>
    </row>
    <row r="7" spans="1:29" ht="15.75" x14ac:dyDescent="0.25">
      <c r="A7" s="12" t="s">
        <v>11</v>
      </c>
      <c r="B7" s="13" t="s">
        <v>42</v>
      </c>
      <c r="C7" s="23">
        <v>67366</v>
      </c>
      <c r="D7" s="22">
        <v>60205</v>
      </c>
      <c r="E7" s="14">
        <f t="shared" si="0"/>
        <v>127571</v>
      </c>
      <c r="F7" s="14">
        <v>2492</v>
      </c>
      <c r="G7" s="15">
        <v>51.192215088282502</v>
      </c>
      <c r="H7" s="16">
        <v>7.7</v>
      </c>
      <c r="I7" s="17">
        <v>1.5333521763708309</v>
      </c>
      <c r="J7" s="17">
        <v>7.5960994912379878</v>
      </c>
      <c r="K7" s="17">
        <v>2.4731486715658564</v>
      </c>
      <c r="L7" s="17">
        <v>9.8431317128321094</v>
      </c>
      <c r="M7" s="17">
        <v>78.55426794799321</v>
      </c>
      <c r="N7" s="18">
        <v>14152</v>
      </c>
      <c r="O7" s="19">
        <v>161</v>
      </c>
      <c r="P7" s="20">
        <v>25</v>
      </c>
      <c r="Q7" s="19">
        <v>18</v>
      </c>
      <c r="R7" s="21">
        <v>3</v>
      </c>
      <c r="S7" s="21">
        <v>1</v>
      </c>
      <c r="T7" s="21">
        <v>1</v>
      </c>
      <c r="U7" s="19">
        <v>1</v>
      </c>
      <c r="V7" s="20">
        <v>6</v>
      </c>
      <c r="W7" s="19">
        <v>0</v>
      </c>
      <c r="X7" s="21">
        <v>1</v>
      </c>
      <c r="Y7" s="21">
        <v>8</v>
      </c>
      <c r="Z7" s="21">
        <v>1</v>
      </c>
      <c r="AA7" s="21">
        <f t="shared" si="1"/>
        <v>17</v>
      </c>
      <c r="AB7" s="19">
        <v>2111.52</v>
      </c>
      <c r="AC7" s="19">
        <v>21</v>
      </c>
    </row>
    <row r="8" spans="1:29" ht="15.75" x14ac:dyDescent="0.25">
      <c r="A8" s="12" t="s">
        <v>12</v>
      </c>
      <c r="B8" s="13" t="s">
        <v>42</v>
      </c>
      <c r="C8" s="23">
        <v>301381</v>
      </c>
      <c r="D8" s="22">
        <v>293177</v>
      </c>
      <c r="E8" s="14">
        <f t="shared" si="0"/>
        <v>594558</v>
      </c>
      <c r="F8" s="14">
        <v>1643</v>
      </c>
      <c r="G8" s="15">
        <v>361.87340231284236</v>
      </c>
      <c r="H8" s="16">
        <v>7.2</v>
      </c>
      <c r="I8" s="17">
        <v>1.1816192560175054</v>
      </c>
      <c r="J8" s="17">
        <v>30.740003978516015</v>
      </c>
      <c r="K8" s="17">
        <v>7.3383727869504671</v>
      </c>
      <c r="L8" s="17">
        <v>10.306345733041576</v>
      </c>
      <c r="M8" s="17">
        <v>50.43365824547444</v>
      </c>
      <c r="N8" s="18">
        <v>50270</v>
      </c>
      <c r="O8" s="19">
        <v>521</v>
      </c>
      <c r="P8" s="20">
        <v>52</v>
      </c>
      <c r="Q8" s="19">
        <v>34</v>
      </c>
      <c r="R8" s="21">
        <v>3</v>
      </c>
      <c r="S8" s="21">
        <v>1</v>
      </c>
      <c r="T8" s="21">
        <v>1</v>
      </c>
      <c r="U8" s="19">
        <v>3</v>
      </c>
      <c r="V8" s="20">
        <v>20</v>
      </c>
      <c r="W8" s="19">
        <v>1</v>
      </c>
      <c r="X8" s="21">
        <v>2</v>
      </c>
      <c r="Y8" s="21">
        <v>18</v>
      </c>
      <c r="Z8" s="21">
        <v>3</v>
      </c>
      <c r="AA8" s="21">
        <f t="shared" si="1"/>
        <v>47</v>
      </c>
      <c r="AB8" s="19">
        <v>1160.43</v>
      </c>
      <c r="AC8" s="19">
        <v>99</v>
      </c>
    </row>
    <row r="9" spans="1:29" ht="15.75" x14ac:dyDescent="0.25">
      <c r="A9" s="12" t="s">
        <v>13</v>
      </c>
      <c r="B9" s="13" t="s">
        <v>42</v>
      </c>
      <c r="C9" s="23">
        <v>103435</v>
      </c>
      <c r="D9" s="22">
        <v>99933</v>
      </c>
      <c r="E9" s="14">
        <f t="shared" si="0"/>
        <v>203368</v>
      </c>
      <c r="F9" s="14">
        <v>3615</v>
      </c>
      <c r="G9" s="15">
        <v>56.256708160442606</v>
      </c>
      <c r="H9" s="16">
        <v>6.5</v>
      </c>
      <c r="I9" s="17">
        <v>0.39588281868566905</v>
      </c>
      <c r="J9" s="17">
        <v>2.3836312872442389</v>
      </c>
      <c r="K9" s="17">
        <v>0.52923282076926281</v>
      </c>
      <c r="L9" s="17">
        <v>7.963495436929616</v>
      </c>
      <c r="M9" s="17">
        <v>88.727757636371209</v>
      </c>
      <c r="N9" s="18">
        <v>23997</v>
      </c>
      <c r="O9" s="19">
        <v>265</v>
      </c>
      <c r="P9" s="20">
        <v>35</v>
      </c>
      <c r="Q9" s="19">
        <v>24</v>
      </c>
      <c r="R9" s="21">
        <v>2</v>
      </c>
      <c r="S9" s="21">
        <v>2</v>
      </c>
      <c r="T9" s="21">
        <v>0</v>
      </c>
      <c r="U9" s="19">
        <v>1</v>
      </c>
      <c r="V9" s="20">
        <v>11</v>
      </c>
      <c r="W9" s="19">
        <v>0</v>
      </c>
      <c r="X9" s="21">
        <v>3</v>
      </c>
      <c r="Y9" s="21">
        <v>14</v>
      </c>
      <c r="Z9" s="21">
        <v>2</v>
      </c>
      <c r="AA9" s="21">
        <f t="shared" si="1"/>
        <v>31</v>
      </c>
      <c r="AB9" s="19">
        <v>1167.45</v>
      </c>
      <c r="AC9" s="19">
        <v>280</v>
      </c>
    </row>
    <row r="10" spans="1:29" ht="15.75" x14ac:dyDescent="0.25">
      <c r="A10" s="12" t="s">
        <v>14</v>
      </c>
      <c r="B10" s="13" t="s">
        <v>42</v>
      </c>
      <c r="C10" s="23">
        <v>233618</v>
      </c>
      <c r="D10" s="22">
        <v>209056</v>
      </c>
      <c r="E10" s="14">
        <f t="shared" si="0"/>
        <v>442674</v>
      </c>
      <c r="F10" s="14">
        <v>5682</v>
      </c>
      <c r="G10" s="15">
        <v>77.908130939809922</v>
      </c>
      <c r="H10" s="16">
        <v>8.8000000000000007</v>
      </c>
      <c r="I10" s="17">
        <v>0.65372490459598476</v>
      </c>
      <c r="J10" s="17">
        <v>7.7551020408163263</v>
      </c>
      <c r="K10" s="17">
        <v>1.1050273768043803</v>
      </c>
      <c r="L10" s="17">
        <v>8.7240749958519999</v>
      </c>
      <c r="M10" s="17">
        <v>81.762070681931306</v>
      </c>
      <c r="N10" s="18">
        <v>30135</v>
      </c>
      <c r="O10" s="19">
        <v>411</v>
      </c>
      <c r="P10" s="20">
        <v>37</v>
      </c>
      <c r="Q10" s="19">
        <v>37</v>
      </c>
      <c r="R10" s="21">
        <v>5</v>
      </c>
      <c r="S10" s="21">
        <v>4</v>
      </c>
      <c r="T10" s="21">
        <v>1</v>
      </c>
      <c r="U10" s="19">
        <v>3</v>
      </c>
      <c r="V10" s="20">
        <v>19</v>
      </c>
      <c r="W10" s="19">
        <v>0</v>
      </c>
      <c r="X10" s="21">
        <v>5</v>
      </c>
      <c r="Y10" s="21">
        <v>13</v>
      </c>
      <c r="Z10" s="21">
        <v>3</v>
      </c>
      <c r="AA10" s="21">
        <f t="shared" si="1"/>
        <v>43</v>
      </c>
      <c r="AB10" s="19">
        <v>1075.43</v>
      </c>
      <c r="AC10" s="19">
        <v>1286</v>
      </c>
    </row>
    <row r="11" spans="1:29" ht="15.75" x14ac:dyDescent="0.25">
      <c r="A11" s="12" t="s">
        <v>15</v>
      </c>
      <c r="B11" s="13" t="s">
        <v>42</v>
      </c>
      <c r="C11" s="23">
        <v>138618</v>
      </c>
      <c r="D11" s="22">
        <v>132942</v>
      </c>
      <c r="E11" s="14">
        <f t="shared" si="0"/>
        <v>271560</v>
      </c>
      <c r="F11" s="14">
        <v>7654</v>
      </c>
      <c r="G11" s="15">
        <v>35.479487849490461</v>
      </c>
      <c r="H11" s="16">
        <v>8.1999999999999993</v>
      </c>
      <c r="I11" s="17">
        <v>1.5580512496045555</v>
      </c>
      <c r="J11" s="17">
        <v>1.7458873774122112</v>
      </c>
      <c r="K11" s="17">
        <v>0.67225561531161027</v>
      </c>
      <c r="L11" s="17">
        <v>7.5173995571021832</v>
      </c>
      <c r="M11" s="17">
        <v>88.506406200569444</v>
      </c>
      <c r="N11" s="18">
        <v>50576</v>
      </c>
      <c r="O11" s="19">
        <v>303</v>
      </c>
      <c r="P11" s="20">
        <v>40</v>
      </c>
      <c r="Q11" s="19">
        <v>45</v>
      </c>
      <c r="R11" s="21">
        <v>3</v>
      </c>
      <c r="S11" s="21">
        <v>5</v>
      </c>
      <c r="T11" s="21">
        <v>1</v>
      </c>
      <c r="U11" s="19">
        <v>1</v>
      </c>
      <c r="V11" s="20">
        <v>10</v>
      </c>
      <c r="W11" s="19">
        <v>0</v>
      </c>
      <c r="X11" s="21">
        <v>4</v>
      </c>
      <c r="Y11" s="21">
        <v>23</v>
      </c>
      <c r="Z11" s="21">
        <v>3</v>
      </c>
      <c r="AA11" s="21">
        <f t="shared" si="1"/>
        <v>41</v>
      </c>
      <c r="AB11" s="19">
        <v>649.83000000000004</v>
      </c>
      <c r="AC11" s="19">
        <v>1552.7</v>
      </c>
    </row>
    <row r="12" spans="1:29" ht="15.75" x14ac:dyDescent="0.25">
      <c r="A12" s="12" t="s">
        <v>16</v>
      </c>
      <c r="B12" s="13" t="s">
        <v>42</v>
      </c>
      <c r="C12" s="23">
        <v>555342</v>
      </c>
      <c r="D12" s="22">
        <v>505589</v>
      </c>
      <c r="E12" s="14">
        <f t="shared" si="0"/>
        <v>1060931</v>
      </c>
      <c r="F12" s="14">
        <v>22539</v>
      </c>
      <c r="G12" s="15">
        <v>47.070899330050132</v>
      </c>
      <c r="H12" s="16">
        <v>4.0999999999999996</v>
      </c>
      <c r="I12" s="17">
        <v>6.4612020875920058</v>
      </c>
      <c r="J12" s="17">
        <v>11.999161369065002</v>
      </c>
      <c r="K12" s="17">
        <v>2.0995724479786748</v>
      </c>
      <c r="L12" s="17">
        <v>25.158928049958444</v>
      </c>
      <c r="M12" s="17">
        <v>54.281136045405873</v>
      </c>
      <c r="N12" s="18">
        <v>133551</v>
      </c>
      <c r="O12" s="19">
        <v>529</v>
      </c>
      <c r="P12" s="20">
        <v>88</v>
      </c>
      <c r="Q12" s="19">
        <v>83</v>
      </c>
      <c r="R12" s="21">
        <v>16</v>
      </c>
      <c r="S12" s="21">
        <v>3</v>
      </c>
      <c r="T12" s="21">
        <v>2</v>
      </c>
      <c r="U12" s="19">
        <v>1</v>
      </c>
      <c r="V12" s="20">
        <v>40</v>
      </c>
      <c r="W12" s="19">
        <v>0</v>
      </c>
      <c r="X12" s="21">
        <v>16</v>
      </c>
      <c r="Y12" s="21">
        <v>37</v>
      </c>
      <c r="Z12" s="21">
        <v>4</v>
      </c>
      <c r="AA12" s="21">
        <f t="shared" si="1"/>
        <v>98</v>
      </c>
      <c r="AB12" s="19">
        <v>1307.53</v>
      </c>
      <c r="AC12" s="19">
        <v>1326</v>
      </c>
    </row>
    <row r="13" spans="1:29" ht="15.75" x14ac:dyDescent="0.25">
      <c r="A13" s="12" t="s">
        <v>17</v>
      </c>
      <c r="B13" s="13" t="s">
        <v>42</v>
      </c>
      <c r="C13" s="23">
        <v>139706</v>
      </c>
      <c r="D13" s="22">
        <v>120646</v>
      </c>
      <c r="E13" s="14">
        <f t="shared" si="0"/>
        <v>260352</v>
      </c>
      <c r="F13" s="14">
        <v>14958</v>
      </c>
      <c r="G13" s="15">
        <v>17.405535499398315</v>
      </c>
      <c r="H13" s="16">
        <v>7.2</v>
      </c>
      <c r="I13" s="17">
        <v>0.78719723183390999</v>
      </c>
      <c r="J13" s="17">
        <v>1.3538062283737025</v>
      </c>
      <c r="K13" s="17">
        <v>5.679065743944637</v>
      </c>
      <c r="L13" s="17">
        <v>6.1072664359861593</v>
      </c>
      <c r="M13" s="17">
        <v>86.072664359861591</v>
      </c>
      <c r="N13" s="18">
        <v>23120</v>
      </c>
      <c r="O13" s="19">
        <v>202</v>
      </c>
      <c r="P13" s="20">
        <v>46</v>
      </c>
      <c r="Q13" s="19">
        <v>23</v>
      </c>
      <c r="R13" s="21">
        <v>8</v>
      </c>
      <c r="S13" s="21">
        <v>2</v>
      </c>
      <c r="T13" s="21">
        <v>1</v>
      </c>
      <c r="U13" s="19">
        <v>1</v>
      </c>
      <c r="V13" s="20">
        <v>5</v>
      </c>
      <c r="W13" s="19">
        <v>0</v>
      </c>
      <c r="X13" s="21">
        <v>2</v>
      </c>
      <c r="Y13" s="21">
        <v>23</v>
      </c>
      <c r="Z13" s="21">
        <v>2</v>
      </c>
      <c r="AA13" s="21">
        <f t="shared" si="1"/>
        <v>33</v>
      </c>
      <c r="AB13" s="19">
        <v>1559.63</v>
      </c>
      <c r="AC13" s="19">
        <v>1514</v>
      </c>
    </row>
    <row r="14" spans="1:29" ht="15.75" x14ac:dyDescent="0.25">
      <c r="A14" s="12" t="s">
        <v>18</v>
      </c>
      <c r="B14" s="13" t="s">
        <v>42</v>
      </c>
      <c r="C14" s="23">
        <v>537347</v>
      </c>
      <c r="D14" s="22">
        <v>459867</v>
      </c>
      <c r="E14" s="14">
        <f t="shared" si="0"/>
        <v>997214</v>
      </c>
      <c r="F14" s="14">
        <v>35380</v>
      </c>
      <c r="G14" s="15">
        <v>28.185811192764273</v>
      </c>
      <c r="H14" s="16">
        <v>6.1</v>
      </c>
      <c r="I14" s="17">
        <v>2.88968879573518</v>
      </c>
      <c r="J14" s="17">
        <v>2.7621087164532736</v>
      </c>
      <c r="K14" s="17">
        <v>3.1557843896660134</v>
      </c>
      <c r="L14" s="17">
        <v>11.020184991114959</v>
      </c>
      <c r="M14" s="17">
        <v>80.172233107030578</v>
      </c>
      <c r="N14" s="18">
        <v>109735</v>
      </c>
      <c r="O14" s="19">
        <v>664</v>
      </c>
      <c r="P14" s="20">
        <v>90</v>
      </c>
      <c r="Q14" s="19">
        <v>54</v>
      </c>
      <c r="R14" s="21">
        <v>8</v>
      </c>
      <c r="S14" s="21">
        <v>4</v>
      </c>
      <c r="T14" s="21">
        <v>2</v>
      </c>
      <c r="U14" s="19">
        <v>4</v>
      </c>
      <c r="V14" s="20">
        <v>30</v>
      </c>
      <c r="W14" s="19">
        <v>1</v>
      </c>
      <c r="X14" s="21">
        <v>6</v>
      </c>
      <c r="Y14" s="21">
        <v>44</v>
      </c>
      <c r="Z14" s="21">
        <v>1</v>
      </c>
      <c r="AA14" s="21">
        <f t="shared" si="1"/>
        <v>86</v>
      </c>
      <c r="AB14" s="19">
        <v>1096.53</v>
      </c>
      <c r="AC14" s="19">
        <v>1065</v>
      </c>
    </row>
    <row r="15" spans="1:29" ht="15.75" x14ac:dyDescent="0.25">
      <c r="A15" s="12" t="s">
        <v>19</v>
      </c>
      <c r="B15" s="13" t="s">
        <v>42</v>
      </c>
      <c r="C15" s="23">
        <v>189188</v>
      </c>
      <c r="D15" s="22">
        <v>172783</v>
      </c>
      <c r="E15" s="14">
        <f t="shared" si="0"/>
        <v>361971</v>
      </c>
      <c r="F15" s="14">
        <v>3553</v>
      </c>
      <c r="G15" s="15">
        <v>101.87756825218126</v>
      </c>
      <c r="H15" s="16">
        <v>5.3</v>
      </c>
      <c r="I15" s="17">
        <v>2.4125611961363735</v>
      </c>
      <c r="J15" s="17">
        <v>6.1504873638248139</v>
      </c>
      <c r="K15" s="17">
        <v>0.74758523353768802</v>
      </c>
      <c r="L15" s="17">
        <v>10.686719887090371</v>
      </c>
      <c r="M15" s="17">
        <v>80.002646319410758</v>
      </c>
      <c r="N15" s="18">
        <v>90692</v>
      </c>
      <c r="O15" s="19">
        <v>325</v>
      </c>
      <c r="P15" s="20">
        <v>32</v>
      </c>
      <c r="Q15" s="19">
        <v>28</v>
      </c>
      <c r="R15" s="21">
        <v>3</v>
      </c>
      <c r="S15" s="21">
        <v>5</v>
      </c>
      <c r="T15" s="21">
        <v>1</v>
      </c>
      <c r="U15" s="19">
        <v>1</v>
      </c>
      <c r="V15" s="20">
        <v>12</v>
      </c>
      <c r="W15" s="19">
        <v>1</v>
      </c>
      <c r="X15" s="21">
        <v>8</v>
      </c>
      <c r="Y15" s="21">
        <v>40</v>
      </c>
      <c r="Z15" s="21">
        <v>2</v>
      </c>
      <c r="AA15" s="21">
        <f t="shared" si="1"/>
        <v>64</v>
      </c>
      <c r="AB15" s="19">
        <v>854.93</v>
      </c>
      <c r="AC15" s="19">
        <v>947</v>
      </c>
    </row>
    <row r="16" spans="1:29" ht="15.75" x14ac:dyDescent="0.25">
      <c r="A16" s="12" t="s">
        <v>20</v>
      </c>
      <c r="B16" s="13" t="s">
        <v>42</v>
      </c>
      <c r="C16" s="23">
        <v>199075</v>
      </c>
      <c r="D16" s="22">
        <v>181125</v>
      </c>
      <c r="E16" s="14">
        <f t="shared" si="0"/>
        <v>380200</v>
      </c>
      <c r="F16" s="14">
        <v>6831</v>
      </c>
      <c r="G16" s="15">
        <v>55.658029571073051</v>
      </c>
      <c r="H16" s="16">
        <v>5.4</v>
      </c>
      <c r="I16" s="17">
        <v>1.8802595675402995</v>
      </c>
      <c r="J16" s="17">
        <v>2.9763133154479373</v>
      </c>
      <c r="K16" s="17">
        <v>4.3842149916305519</v>
      </c>
      <c r="L16" s="17">
        <v>13.487422897892733</v>
      </c>
      <c r="M16" s="17">
        <v>77.271789227488483</v>
      </c>
      <c r="N16" s="18">
        <v>43611</v>
      </c>
      <c r="O16" s="19">
        <v>573</v>
      </c>
      <c r="P16" s="20">
        <v>51</v>
      </c>
      <c r="Q16" s="19">
        <v>37</v>
      </c>
      <c r="R16" s="21">
        <v>3</v>
      </c>
      <c r="S16" s="21">
        <v>3</v>
      </c>
      <c r="T16" s="21">
        <v>2</v>
      </c>
      <c r="U16" s="19">
        <v>2</v>
      </c>
      <c r="V16" s="20">
        <v>12</v>
      </c>
      <c r="W16" s="19">
        <v>0</v>
      </c>
      <c r="X16" s="21">
        <v>7</v>
      </c>
      <c r="Y16" s="21">
        <v>14</v>
      </c>
      <c r="Z16" s="21">
        <v>2</v>
      </c>
      <c r="AA16" s="21">
        <f t="shared" si="1"/>
        <v>37</v>
      </c>
      <c r="AB16" s="19">
        <v>229.49</v>
      </c>
      <c r="AC16" s="19">
        <v>1192</v>
      </c>
    </row>
    <row r="17" spans="1:29" ht="15.75" x14ac:dyDescent="0.25">
      <c r="A17" s="12" t="s">
        <v>21</v>
      </c>
      <c r="B17" s="13" t="s">
        <v>42</v>
      </c>
      <c r="C17" s="23">
        <v>136259</v>
      </c>
      <c r="D17" s="22">
        <v>123961</v>
      </c>
      <c r="E17" s="14">
        <f t="shared" si="0"/>
        <v>260220</v>
      </c>
      <c r="F17" s="14">
        <v>7610</v>
      </c>
      <c r="G17" s="15">
        <v>34.19448094612352</v>
      </c>
      <c r="H17" s="16">
        <v>6.8</v>
      </c>
      <c r="I17" s="17">
        <v>0.9133408362912302</v>
      </c>
      <c r="J17" s="17">
        <v>2.0993853346030646</v>
      </c>
      <c r="K17" s="17">
        <v>3.9303956367414075</v>
      </c>
      <c r="L17" s="17">
        <v>33.607479871872563</v>
      </c>
      <c r="M17" s="17">
        <v>59.449398320491731</v>
      </c>
      <c r="N17" s="18">
        <v>23102</v>
      </c>
      <c r="O17" s="19">
        <v>424</v>
      </c>
      <c r="P17" s="20">
        <v>45</v>
      </c>
      <c r="Q17" s="19">
        <v>26</v>
      </c>
      <c r="R17" s="21">
        <v>5</v>
      </c>
      <c r="S17" s="21">
        <v>2</v>
      </c>
      <c r="T17" s="21">
        <v>0</v>
      </c>
      <c r="U17" s="19">
        <v>1</v>
      </c>
      <c r="V17" s="20">
        <v>30</v>
      </c>
      <c r="W17" s="19">
        <v>0</v>
      </c>
      <c r="X17" s="21">
        <v>3</v>
      </c>
      <c r="Y17" s="21">
        <v>53</v>
      </c>
      <c r="Z17" s="21">
        <v>1</v>
      </c>
      <c r="AA17" s="21">
        <f t="shared" si="1"/>
        <v>88</v>
      </c>
      <c r="AB17" s="19">
        <v>1670.31</v>
      </c>
      <c r="AC17" s="19">
        <v>1232</v>
      </c>
    </row>
    <row r="18" spans="1:29" ht="15.75" x14ac:dyDescent="0.25">
      <c r="A18" s="12" t="s">
        <v>22</v>
      </c>
      <c r="B18" s="13" t="s">
        <v>42</v>
      </c>
      <c r="C18" s="23">
        <v>348865</v>
      </c>
      <c r="D18" s="22">
        <v>332112</v>
      </c>
      <c r="E18" s="14">
        <f t="shared" si="0"/>
        <v>680977</v>
      </c>
      <c r="F18" s="14">
        <v>15153</v>
      </c>
      <c r="G18" s="15">
        <v>44.940077872368512</v>
      </c>
      <c r="H18" s="16">
        <v>5.8</v>
      </c>
      <c r="I18" s="17">
        <v>7.0496083550913839</v>
      </c>
      <c r="J18" s="17">
        <v>31.271339626431011</v>
      </c>
      <c r="K18" s="17">
        <v>2.5406708174332193</v>
      </c>
      <c r="L18" s="17">
        <v>15.491313516770436</v>
      </c>
      <c r="M18" s="17">
        <v>43.647067684273949</v>
      </c>
      <c r="N18" s="18">
        <v>79664</v>
      </c>
      <c r="O18" s="19">
        <v>555</v>
      </c>
      <c r="P18" s="20">
        <v>74</v>
      </c>
      <c r="Q18" s="19">
        <v>39</v>
      </c>
      <c r="R18" s="21">
        <v>9</v>
      </c>
      <c r="S18" s="21">
        <v>2</v>
      </c>
      <c r="T18" s="21">
        <v>2</v>
      </c>
      <c r="U18" s="19">
        <v>3</v>
      </c>
      <c r="V18" s="20">
        <v>27</v>
      </c>
      <c r="W18" s="19">
        <v>0</v>
      </c>
      <c r="X18" s="21">
        <v>4</v>
      </c>
      <c r="Y18" s="21">
        <v>45</v>
      </c>
      <c r="Z18" s="21">
        <v>4</v>
      </c>
      <c r="AA18" s="21">
        <f t="shared" si="1"/>
        <v>83</v>
      </c>
      <c r="AB18" s="19">
        <v>987.15</v>
      </c>
      <c r="AC18" s="19">
        <v>602</v>
      </c>
    </row>
    <row r="19" spans="1:29" ht="15.75" x14ac:dyDescent="0.25">
      <c r="A19" s="12" t="s">
        <v>23</v>
      </c>
      <c r="B19" s="13" t="s">
        <v>42</v>
      </c>
      <c r="C19" s="23">
        <v>142791</v>
      </c>
      <c r="D19" s="22">
        <v>129641</v>
      </c>
      <c r="E19" s="14">
        <f t="shared" si="0"/>
        <v>272432</v>
      </c>
      <c r="F19" s="14">
        <v>3785</v>
      </c>
      <c r="G19" s="15">
        <v>71.976750330250994</v>
      </c>
      <c r="H19" s="16">
        <v>7.1</v>
      </c>
      <c r="I19" s="17">
        <v>2.5577518456775423</v>
      </c>
      <c r="J19" s="17">
        <v>3.7151702786377707</v>
      </c>
      <c r="K19" s="17">
        <v>1.2098118599666587</v>
      </c>
      <c r="L19" s="17">
        <v>10.645391759942843</v>
      </c>
      <c r="M19" s="17">
        <v>81.871874255775182</v>
      </c>
      <c r="N19" s="18">
        <v>41990</v>
      </c>
      <c r="O19" s="19">
        <v>344</v>
      </c>
      <c r="P19" s="20">
        <v>39</v>
      </c>
      <c r="Q19" s="19">
        <v>27</v>
      </c>
      <c r="R19" s="21">
        <v>2</v>
      </c>
      <c r="S19" s="21">
        <v>1</v>
      </c>
      <c r="T19" s="21">
        <v>2</v>
      </c>
      <c r="U19" s="19">
        <v>1</v>
      </c>
      <c r="V19" s="20">
        <v>15</v>
      </c>
      <c r="W19" s="19">
        <v>1</v>
      </c>
      <c r="X19" s="21">
        <v>3</v>
      </c>
      <c r="Y19" s="21">
        <v>19</v>
      </c>
      <c r="Z19" s="21">
        <v>2</v>
      </c>
      <c r="AA19" s="21">
        <f t="shared" si="1"/>
        <v>41</v>
      </c>
      <c r="AB19" s="19">
        <v>1313.33</v>
      </c>
      <c r="AC19" s="19">
        <v>307</v>
      </c>
    </row>
    <row r="20" spans="1:29" ht="15.75" x14ac:dyDescent="0.25">
      <c r="A20" s="12" t="s">
        <v>24</v>
      </c>
      <c r="B20" s="13" t="s">
        <v>42</v>
      </c>
      <c r="C20" s="23">
        <v>166682</v>
      </c>
      <c r="D20" s="22">
        <v>146589</v>
      </c>
      <c r="E20" s="14">
        <f t="shared" si="0"/>
        <v>313271</v>
      </c>
      <c r="F20" s="18">
        <v>3308</v>
      </c>
      <c r="G20" s="15">
        <v>94.701027811366387</v>
      </c>
      <c r="H20" s="16">
        <v>7.1</v>
      </c>
      <c r="I20" s="17">
        <v>1.9665741451603378</v>
      </c>
      <c r="J20" s="17">
        <v>3.7855075887320617</v>
      </c>
      <c r="K20" s="17">
        <v>0.65257190102167362</v>
      </c>
      <c r="L20" s="17">
        <v>9.5021555542431937</v>
      </c>
      <c r="M20" s="17">
        <v>84.093190810842728</v>
      </c>
      <c r="N20" s="18">
        <v>33866</v>
      </c>
      <c r="O20" s="19">
        <v>319</v>
      </c>
      <c r="P20" s="20">
        <v>54</v>
      </c>
      <c r="Q20" s="19">
        <v>37</v>
      </c>
      <c r="R20" s="21">
        <v>3</v>
      </c>
      <c r="S20" s="21">
        <v>3</v>
      </c>
      <c r="T20" s="21">
        <v>2</v>
      </c>
      <c r="U20" s="19">
        <v>2</v>
      </c>
      <c r="V20" s="20">
        <v>6</v>
      </c>
      <c r="W20" s="19">
        <v>0</v>
      </c>
      <c r="X20" s="21">
        <v>5</v>
      </c>
      <c r="Y20" s="21">
        <v>26</v>
      </c>
      <c r="Z20" s="21">
        <v>2</v>
      </c>
      <c r="AA20" s="21">
        <f t="shared" si="1"/>
        <v>41</v>
      </c>
      <c r="AB20" s="19">
        <v>233.18</v>
      </c>
      <c r="AC20" s="19">
        <v>306</v>
      </c>
    </row>
    <row r="21" spans="1:29" ht="15.75" x14ac:dyDescent="0.25">
      <c r="A21" s="12" t="s">
        <v>25</v>
      </c>
      <c r="B21" s="13" t="s">
        <v>42</v>
      </c>
      <c r="C21" s="23">
        <v>96709</v>
      </c>
      <c r="D21" s="22">
        <v>85566</v>
      </c>
      <c r="E21" s="14">
        <f t="shared" si="0"/>
        <v>182275</v>
      </c>
      <c r="F21" s="18">
        <v>5728</v>
      </c>
      <c r="G21" s="15">
        <v>31.821752793296092</v>
      </c>
      <c r="H21" s="16">
        <v>5.8</v>
      </c>
      <c r="I21" s="17">
        <v>1.8499054025646415</v>
      </c>
      <c r="J21" s="17">
        <v>3.5148202648728191</v>
      </c>
      <c r="K21" s="17">
        <v>35.139793987807444</v>
      </c>
      <c r="L21" s="17">
        <v>11.14988438091234</v>
      </c>
      <c r="M21" s="17">
        <v>48.345595963842761</v>
      </c>
      <c r="N21" s="18">
        <v>23785</v>
      </c>
      <c r="O21" s="19">
        <v>287</v>
      </c>
      <c r="P21" s="20">
        <v>32</v>
      </c>
      <c r="Q21" s="19">
        <v>22</v>
      </c>
      <c r="R21" s="21">
        <v>3</v>
      </c>
      <c r="S21" s="21">
        <v>4</v>
      </c>
      <c r="T21" s="21">
        <v>1</v>
      </c>
      <c r="U21" s="19">
        <v>1</v>
      </c>
      <c r="V21" s="20">
        <v>14</v>
      </c>
      <c r="W21" s="19">
        <v>0</v>
      </c>
      <c r="X21" s="21">
        <v>1</v>
      </c>
      <c r="Y21" s="21">
        <v>22</v>
      </c>
      <c r="Z21" s="21">
        <v>2</v>
      </c>
      <c r="AA21" s="21">
        <f t="shared" si="1"/>
        <v>40</v>
      </c>
      <c r="AB21" s="19">
        <v>1439.74</v>
      </c>
      <c r="AC21" s="19">
        <v>252</v>
      </c>
    </row>
    <row r="22" spans="1:29" ht="15.75" x14ac:dyDescent="0.25">
      <c r="A22" s="12" t="s">
        <v>26</v>
      </c>
      <c r="B22" s="13" t="s">
        <v>42</v>
      </c>
      <c r="C22" s="23">
        <v>287920</v>
      </c>
      <c r="D22" s="22">
        <v>275395</v>
      </c>
      <c r="E22" s="14">
        <f t="shared" si="0"/>
        <v>563315</v>
      </c>
      <c r="F22" s="14">
        <v>3387</v>
      </c>
      <c r="G22" s="15">
        <v>166.31679952760555</v>
      </c>
      <c r="H22" s="16">
        <v>6.4</v>
      </c>
      <c r="I22" s="17">
        <v>1.0474922325787839</v>
      </c>
      <c r="J22" s="17">
        <v>13.615179760319574</v>
      </c>
      <c r="K22" s="17">
        <v>1.4558366622281402</v>
      </c>
      <c r="L22" s="17">
        <v>12.407900577008434</v>
      </c>
      <c r="M22" s="17">
        <v>71.473590767865062</v>
      </c>
      <c r="N22" s="18">
        <v>45060</v>
      </c>
      <c r="O22" s="19">
        <v>536</v>
      </c>
      <c r="P22" s="20">
        <v>48</v>
      </c>
      <c r="Q22" s="19">
        <v>35</v>
      </c>
      <c r="R22" s="21">
        <v>5</v>
      </c>
      <c r="S22" s="21">
        <v>2</v>
      </c>
      <c r="T22" s="21">
        <v>3</v>
      </c>
      <c r="U22" s="19">
        <v>1</v>
      </c>
      <c r="V22" s="20">
        <v>9</v>
      </c>
      <c r="W22" s="19">
        <v>0</v>
      </c>
      <c r="X22" s="21">
        <v>4</v>
      </c>
      <c r="Y22" s="21">
        <v>17</v>
      </c>
      <c r="Z22" s="21">
        <v>3</v>
      </c>
      <c r="AA22" s="21">
        <f t="shared" si="1"/>
        <v>34</v>
      </c>
      <c r="AB22" s="19">
        <v>509.33</v>
      </c>
      <c r="AC22" s="19">
        <v>1492</v>
      </c>
    </row>
    <row r="23" spans="1:29" ht="15.75" x14ac:dyDescent="0.25">
      <c r="A23" s="12" t="s">
        <v>27</v>
      </c>
      <c r="B23" s="13" t="s">
        <v>42</v>
      </c>
      <c r="C23" s="23">
        <v>108276</v>
      </c>
      <c r="D23" s="22">
        <v>99558</v>
      </c>
      <c r="E23" s="14">
        <f t="shared" si="0"/>
        <v>207834</v>
      </c>
      <c r="F23" s="14">
        <v>5797</v>
      </c>
      <c r="G23" s="15">
        <v>35.851992409867172</v>
      </c>
      <c r="H23" s="16">
        <v>6.6</v>
      </c>
      <c r="I23" s="17">
        <v>2.7145146408973924</v>
      </c>
      <c r="J23" s="17">
        <v>9.6052056524061573</v>
      </c>
      <c r="K23" s="17">
        <v>1.4422376535716019</v>
      </c>
      <c r="L23" s="17">
        <v>6.3176807653085998</v>
      </c>
      <c r="M23" s="17">
        <v>79.920361287816249</v>
      </c>
      <c r="N23" s="18">
        <v>20593</v>
      </c>
      <c r="O23" s="19">
        <v>186</v>
      </c>
      <c r="P23" s="20">
        <v>47</v>
      </c>
      <c r="Q23" s="19">
        <v>36</v>
      </c>
      <c r="R23" s="21">
        <v>5</v>
      </c>
      <c r="S23" s="21">
        <v>0</v>
      </c>
      <c r="T23" s="21">
        <v>2</v>
      </c>
      <c r="U23" s="19">
        <v>1</v>
      </c>
      <c r="V23" s="20">
        <v>12</v>
      </c>
      <c r="W23" s="19">
        <v>0</v>
      </c>
      <c r="X23" s="21">
        <v>4</v>
      </c>
      <c r="Y23" s="21">
        <v>14</v>
      </c>
      <c r="Z23" s="21">
        <v>2</v>
      </c>
      <c r="AA23" s="21">
        <f t="shared" si="1"/>
        <v>33</v>
      </c>
      <c r="AB23" s="19">
        <v>1524.67</v>
      </c>
      <c r="AC23" s="19">
        <v>648</v>
      </c>
    </row>
    <row r="24" spans="1:29" ht="15.75" x14ac:dyDescent="0.25">
      <c r="A24" s="12" t="s">
        <v>28</v>
      </c>
      <c r="B24" s="13" t="s">
        <v>42</v>
      </c>
      <c r="C24" s="23">
        <v>269467</v>
      </c>
      <c r="D24" s="22">
        <v>240314</v>
      </c>
      <c r="E24" s="14">
        <f t="shared" si="0"/>
        <v>509781</v>
      </c>
      <c r="F24" s="14">
        <v>16891</v>
      </c>
      <c r="G24" s="15">
        <v>30.180628737197324</v>
      </c>
      <c r="H24" s="16">
        <v>4.3</v>
      </c>
      <c r="I24" s="17">
        <v>4.3201150113813345</v>
      </c>
      <c r="J24" s="17">
        <v>5.4702288247274469</v>
      </c>
      <c r="K24" s="17">
        <v>1.2172037857913023</v>
      </c>
      <c r="L24" s="17">
        <v>17.222954354858032</v>
      </c>
      <c r="M24" s="17">
        <v>71.76949802324188</v>
      </c>
      <c r="N24" s="18">
        <v>41735</v>
      </c>
      <c r="O24" s="19">
        <v>337</v>
      </c>
      <c r="P24" s="20">
        <v>48</v>
      </c>
      <c r="Q24" s="19">
        <v>38</v>
      </c>
      <c r="R24" s="21">
        <v>7</v>
      </c>
      <c r="S24" s="21">
        <v>2</v>
      </c>
      <c r="T24" s="21">
        <v>2</v>
      </c>
      <c r="U24" s="19">
        <v>2</v>
      </c>
      <c r="V24" s="20">
        <v>11</v>
      </c>
      <c r="W24" s="19">
        <v>1</v>
      </c>
      <c r="X24" s="21">
        <v>6</v>
      </c>
      <c r="Y24" s="21">
        <v>30</v>
      </c>
      <c r="Z24" s="21">
        <v>4</v>
      </c>
      <c r="AA24" s="21">
        <f t="shared" si="1"/>
        <v>54</v>
      </c>
      <c r="AB24" s="19">
        <v>2256.62</v>
      </c>
      <c r="AC24" s="19">
        <v>402.07</v>
      </c>
    </row>
    <row r="25" spans="1:29" ht="15.75" x14ac:dyDescent="0.25">
      <c r="A25" s="12" t="s">
        <v>29</v>
      </c>
      <c r="B25" s="13" t="s">
        <v>42</v>
      </c>
      <c r="C25" s="23">
        <v>426620</v>
      </c>
      <c r="D25" s="22">
        <v>408862</v>
      </c>
      <c r="E25" s="14">
        <f t="shared" si="0"/>
        <v>835482</v>
      </c>
      <c r="F25" s="14">
        <v>6218</v>
      </c>
      <c r="G25" s="15">
        <v>134.36506915406883</v>
      </c>
      <c r="H25" s="16">
        <v>5.6</v>
      </c>
      <c r="I25" s="17">
        <v>2.0464274839241257</v>
      </c>
      <c r="J25" s="17">
        <v>5.3654910530369522</v>
      </c>
      <c r="K25" s="17">
        <v>2.1297175303157858</v>
      </c>
      <c r="L25" s="17">
        <v>9.428791488294614</v>
      </c>
      <c r="M25" s="17">
        <v>81.029572444428524</v>
      </c>
      <c r="N25" s="18">
        <v>111658</v>
      </c>
      <c r="O25" s="19">
        <v>848</v>
      </c>
      <c r="P25" s="20">
        <v>122</v>
      </c>
      <c r="Q25" s="19">
        <v>69</v>
      </c>
      <c r="R25" s="21">
        <v>2</v>
      </c>
      <c r="S25" s="21">
        <v>7</v>
      </c>
      <c r="T25" s="21">
        <v>3</v>
      </c>
      <c r="U25" s="19">
        <v>2</v>
      </c>
      <c r="V25" s="20">
        <v>11</v>
      </c>
      <c r="W25" s="19">
        <v>1</v>
      </c>
      <c r="X25" s="21">
        <v>11</v>
      </c>
      <c r="Y25" s="21">
        <v>36</v>
      </c>
      <c r="Z25" s="21">
        <v>4</v>
      </c>
      <c r="AA25" s="21">
        <f t="shared" si="1"/>
        <v>65</v>
      </c>
      <c r="AB25" s="19">
        <v>795.76</v>
      </c>
      <c r="AC25" s="19">
        <v>282</v>
      </c>
    </row>
    <row r="26" spans="1:29" ht="15.75" x14ac:dyDescent="0.25">
      <c r="A26" s="12" t="s">
        <v>30</v>
      </c>
      <c r="B26" s="13" t="s">
        <v>42</v>
      </c>
      <c r="C26" s="23">
        <v>1319980</v>
      </c>
      <c r="D26" s="22">
        <v>1275512</v>
      </c>
      <c r="E26" s="14">
        <f t="shared" si="0"/>
        <v>2595492</v>
      </c>
      <c r="F26" s="14">
        <v>3447</v>
      </c>
      <c r="G26" s="15">
        <v>752.97127937336813</v>
      </c>
      <c r="H26" s="16">
        <v>8.9</v>
      </c>
      <c r="I26" s="17">
        <v>25.453791681606312</v>
      </c>
      <c r="J26" s="17">
        <v>26.510397992111869</v>
      </c>
      <c r="K26" s="17">
        <v>1.2778997848691287</v>
      </c>
      <c r="L26" s="17">
        <v>3.3905521692362854</v>
      </c>
      <c r="M26" s="17">
        <v>43.367358372176405</v>
      </c>
      <c r="N26" s="18">
        <v>178496</v>
      </c>
      <c r="O26" s="19">
        <v>445</v>
      </c>
      <c r="P26" s="20">
        <v>102</v>
      </c>
      <c r="Q26" s="19">
        <v>116</v>
      </c>
      <c r="R26" s="21">
        <v>15</v>
      </c>
      <c r="S26" s="21">
        <v>9</v>
      </c>
      <c r="T26" s="21">
        <v>10</v>
      </c>
      <c r="U26" s="19">
        <v>9</v>
      </c>
      <c r="V26" s="20">
        <v>6</v>
      </c>
      <c r="W26" s="19">
        <v>0</v>
      </c>
      <c r="X26" s="21">
        <v>3</v>
      </c>
      <c r="Y26" s="21">
        <v>43</v>
      </c>
      <c r="Z26" s="21">
        <v>14</v>
      </c>
      <c r="AA26" s="21">
        <f t="shared" si="1"/>
        <v>75</v>
      </c>
      <c r="AB26" s="19">
        <v>182.41</v>
      </c>
      <c r="AC26" s="19">
        <v>0</v>
      </c>
    </row>
    <row r="27" spans="1:29" ht="15.75" x14ac:dyDescent="0.25">
      <c r="A27" s="12" t="s">
        <v>31</v>
      </c>
      <c r="B27" s="13" t="s">
        <v>42</v>
      </c>
      <c r="C27" s="23">
        <v>105351</v>
      </c>
      <c r="D27" s="22">
        <v>86336</v>
      </c>
      <c r="E27" s="14">
        <f t="shared" si="0"/>
        <v>191687</v>
      </c>
      <c r="F27" s="14">
        <v>4310</v>
      </c>
      <c r="G27" s="15">
        <v>44.474941995359629</v>
      </c>
      <c r="H27" s="16">
        <v>5.3</v>
      </c>
      <c r="I27" s="17">
        <v>0.76519129782445616</v>
      </c>
      <c r="J27" s="17">
        <v>8.1220305076269064</v>
      </c>
      <c r="K27" s="17">
        <v>56.164041010252561</v>
      </c>
      <c r="L27" s="17">
        <v>8.8472118029507385</v>
      </c>
      <c r="M27" s="17">
        <v>26.101525381345336</v>
      </c>
      <c r="N27" s="18">
        <v>19995</v>
      </c>
      <c r="O27" s="21">
        <v>193</v>
      </c>
      <c r="P27" s="20">
        <v>16</v>
      </c>
      <c r="Q27" s="19">
        <v>11</v>
      </c>
      <c r="R27" s="21">
        <v>1</v>
      </c>
      <c r="S27" s="21">
        <v>2</v>
      </c>
      <c r="T27" s="21">
        <v>0</v>
      </c>
      <c r="U27" s="21">
        <v>0</v>
      </c>
      <c r="V27" s="20">
        <v>7</v>
      </c>
      <c r="W27" s="19">
        <v>0</v>
      </c>
      <c r="X27" s="21">
        <v>2</v>
      </c>
      <c r="Y27" s="21">
        <v>8</v>
      </c>
      <c r="Z27" s="21">
        <v>1</v>
      </c>
      <c r="AA27" s="21">
        <f t="shared" si="1"/>
        <v>18</v>
      </c>
      <c r="AB27" s="19">
        <v>698.59</v>
      </c>
      <c r="AC27" s="19">
        <v>916.3</v>
      </c>
    </row>
    <row r="28" spans="1:29" ht="15.75" x14ac:dyDescent="0.25">
      <c r="A28" s="12" t="s">
        <v>32</v>
      </c>
      <c r="B28" s="13" t="s">
        <v>42</v>
      </c>
      <c r="C28" s="23">
        <v>115038</v>
      </c>
      <c r="D28" s="22">
        <v>109110</v>
      </c>
      <c r="E28" s="14">
        <f t="shared" si="0"/>
        <v>224148</v>
      </c>
      <c r="F28" s="14">
        <v>7121</v>
      </c>
      <c r="G28" s="15">
        <v>31.477039741609325</v>
      </c>
      <c r="H28" s="16">
        <v>7.1</v>
      </c>
      <c r="I28" s="17">
        <v>1.9545694664553619</v>
      </c>
      <c r="J28" s="17">
        <v>17.024444124285644</v>
      </c>
      <c r="K28" s="17">
        <v>2.3627719348797003</v>
      </c>
      <c r="L28" s="17">
        <v>7.8086731018585223</v>
      </c>
      <c r="M28" s="17">
        <v>70.849541372520775</v>
      </c>
      <c r="N28" s="18">
        <v>20823</v>
      </c>
      <c r="O28" s="21">
        <v>217</v>
      </c>
      <c r="P28" s="20">
        <v>38</v>
      </c>
      <c r="Q28" s="19">
        <v>36</v>
      </c>
      <c r="R28" s="21">
        <v>3</v>
      </c>
      <c r="S28" s="21">
        <v>0</v>
      </c>
      <c r="T28" s="21">
        <v>2</v>
      </c>
      <c r="U28" s="21">
        <v>1</v>
      </c>
      <c r="V28" s="20">
        <v>15</v>
      </c>
      <c r="W28" s="19">
        <v>0</v>
      </c>
      <c r="X28" s="21">
        <v>3</v>
      </c>
      <c r="Y28" s="21">
        <v>16</v>
      </c>
      <c r="Z28" s="21">
        <v>5</v>
      </c>
      <c r="AA28" s="21">
        <f t="shared" si="1"/>
        <v>40</v>
      </c>
      <c r="AB28" s="19">
        <v>656.14</v>
      </c>
      <c r="AC28" s="19">
        <v>337.29</v>
      </c>
    </row>
    <row r="29" spans="1:29" ht="15.75" x14ac:dyDescent="0.25">
      <c r="A29" s="12" t="s">
        <v>33</v>
      </c>
      <c r="B29" s="13" t="s">
        <v>42</v>
      </c>
      <c r="C29" s="23">
        <v>121865</v>
      </c>
      <c r="D29" s="22">
        <v>118241</v>
      </c>
      <c r="E29" s="14">
        <f t="shared" si="0"/>
        <v>240106</v>
      </c>
      <c r="F29" s="18">
        <v>802</v>
      </c>
      <c r="G29" s="15">
        <v>299.38403990024938</v>
      </c>
      <c r="H29" s="16">
        <v>7.1</v>
      </c>
      <c r="I29" s="17">
        <v>1.3464036848942955</v>
      </c>
      <c r="J29" s="17">
        <v>19.912601866068265</v>
      </c>
      <c r="K29" s="17">
        <v>8.7102869965749381</v>
      </c>
      <c r="L29" s="17">
        <v>18.690209046887919</v>
      </c>
      <c r="M29" s="17">
        <v>51.340498405574586</v>
      </c>
      <c r="N29" s="18">
        <v>16934</v>
      </c>
      <c r="O29" s="21">
        <v>392</v>
      </c>
      <c r="P29" s="20">
        <v>51</v>
      </c>
      <c r="Q29" s="21">
        <v>27</v>
      </c>
      <c r="R29" s="21">
        <v>8</v>
      </c>
      <c r="S29" s="21">
        <v>4</v>
      </c>
      <c r="T29" s="21">
        <v>0</v>
      </c>
      <c r="U29" s="21">
        <v>1</v>
      </c>
      <c r="V29" s="20">
        <v>15</v>
      </c>
      <c r="W29" s="21">
        <v>0</v>
      </c>
      <c r="X29" s="21">
        <v>0</v>
      </c>
      <c r="Y29" s="21">
        <v>22</v>
      </c>
      <c r="Z29" s="21">
        <v>4</v>
      </c>
      <c r="AA29" s="21">
        <f t="shared" si="1"/>
        <v>42</v>
      </c>
      <c r="AB29" s="24"/>
      <c r="AC29" s="24"/>
    </row>
    <row r="30" spans="1:29" ht="15.75" x14ac:dyDescent="0.25">
      <c r="A30" s="12" t="s">
        <v>34</v>
      </c>
      <c r="B30" s="13" t="s">
        <v>42</v>
      </c>
      <c r="C30" s="23">
        <v>162938</v>
      </c>
      <c r="D30" s="22">
        <v>139685</v>
      </c>
      <c r="E30" s="14">
        <f t="shared" si="0"/>
        <v>302623</v>
      </c>
      <c r="F30" s="14">
        <v>33093</v>
      </c>
      <c r="G30" s="15">
        <v>9.1446227298824514</v>
      </c>
      <c r="H30" s="16">
        <v>6.1</v>
      </c>
      <c r="I30" s="17">
        <v>0.7561809573908469</v>
      </c>
      <c r="J30" s="17">
        <v>1.8444239873750659</v>
      </c>
      <c r="K30" s="17">
        <v>0.64110994213571804</v>
      </c>
      <c r="L30" s="17">
        <v>16.386112572330351</v>
      </c>
      <c r="M30" s="17">
        <v>80.37217254076802</v>
      </c>
      <c r="N30" s="18">
        <v>30416</v>
      </c>
      <c r="O30" s="21">
        <v>176</v>
      </c>
      <c r="P30" s="20">
        <v>24</v>
      </c>
      <c r="Q30" s="21">
        <v>21</v>
      </c>
      <c r="R30" s="21">
        <v>5</v>
      </c>
      <c r="S30" s="21">
        <v>2</v>
      </c>
      <c r="T30" s="21">
        <v>0</v>
      </c>
      <c r="U30" s="21">
        <v>1</v>
      </c>
      <c r="V30" s="20">
        <v>12</v>
      </c>
      <c r="W30" s="21">
        <v>0</v>
      </c>
      <c r="X30" s="21">
        <v>4</v>
      </c>
      <c r="Y30" s="21">
        <v>29</v>
      </c>
      <c r="Z30" s="21">
        <v>0</v>
      </c>
      <c r="AA30" s="21">
        <f t="shared" si="1"/>
        <v>46</v>
      </c>
      <c r="AB30" s="24"/>
      <c r="AC30" s="24"/>
    </row>
    <row r="31" spans="1:29" ht="15.75" x14ac:dyDescent="0.25">
      <c r="A31" s="12" t="s">
        <v>35</v>
      </c>
      <c r="B31" s="13" t="s">
        <v>42</v>
      </c>
      <c r="C31" s="23">
        <v>192207</v>
      </c>
      <c r="D31" s="22">
        <v>163485</v>
      </c>
      <c r="E31" s="14">
        <f t="shared" si="0"/>
        <v>355692</v>
      </c>
      <c r="F31" s="14">
        <v>15987</v>
      </c>
      <c r="G31" s="15">
        <v>22.248827172077313</v>
      </c>
      <c r="H31" s="16">
        <v>7.4</v>
      </c>
      <c r="I31" s="17">
        <v>2.8458559659017073</v>
      </c>
      <c r="J31" s="17">
        <v>13.839436546508304</v>
      </c>
      <c r="K31" s="17">
        <v>35.335395171141201</v>
      </c>
      <c r="L31" s="17">
        <v>10.525768641006316</v>
      </c>
      <c r="M31" s="17">
        <v>37.453543675442475</v>
      </c>
      <c r="N31" s="18">
        <v>38477</v>
      </c>
      <c r="O31" s="21">
        <v>332</v>
      </c>
      <c r="P31" s="20">
        <v>38</v>
      </c>
      <c r="Q31" s="21">
        <v>28</v>
      </c>
      <c r="R31" s="21">
        <v>8</v>
      </c>
      <c r="S31" s="21">
        <v>0</v>
      </c>
      <c r="T31" s="21">
        <v>2</v>
      </c>
      <c r="U31" s="21">
        <v>1</v>
      </c>
      <c r="V31" s="20">
        <v>17</v>
      </c>
      <c r="W31" s="21">
        <v>0</v>
      </c>
      <c r="X31" s="21">
        <v>5</v>
      </c>
      <c r="Y31" s="21">
        <v>22</v>
      </c>
      <c r="Z31" s="21">
        <v>2</v>
      </c>
      <c r="AA31" s="21">
        <f t="shared" si="1"/>
        <v>47</v>
      </c>
      <c r="AB31" s="24"/>
      <c r="AC31" s="24"/>
    </row>
    <row r="32" spans="1:29" ht="15.75" x14ac:dyDescent="0.25">
      <c r="A32" s="12" t="s">
        <v>36</v>
      </c>
      <c r="B32" s="13" t="s">
        <v>42</v>
      </c>
      <c r="C32" s="23">
        <v>96180</v>
      </c>
      <c r="D32" s="22">
        <v>93355</v>
      </c>
      <c r="E32" s="14">
        <f t="shared" si="0"/>
        <v>189535</v>
      </c>
      <c r="F32" s="14">
        <v>3301</v>
      </c>
      <c r="G32" s="15">
        <v>57.417449257800662</v>
      </c>
      <c r="H32" s="16">
        <v>8.1999999999999993</v>
      </c>
      <c r="I32" s="17">
        <v>0.78527146346045462</v>
      </c>
      <c r="J32" s="17">
        <v>4.8994927672365209</v>
      </c>
      <c r="K32" s="17">
        <v>1.6118730039451437</v>
      </c>
      <c r="L32" s="17">
        <v>6.4550065752395263</v>
      </c>
      <c r="M32" s="17">
        <v>86.248356190118358</v>
      </c>
      <c r="N32" s="18">
        <v>26615</v>
      </c>
      <c r="O32" s="21">
        <v>237</v>
      </c>
      <c r="P32" s="20">
        <v>32</v>
      </c>
      <c r="Q32" s="21">
        <v>28</v>
      </c>
      <c r="R32" s="21">
        <v>3</v>
      </c>
      <c r="S32" s="21">
        <v>2</v>
      </c>
      <c r="T32" s="21">
        <v>1</v>
      </c>
      <c r="U32" s="21">
        <v>2</v>
      </c>
      <c r="V32" s="20">
        <v>7</v>
      </c>
      <c r="W32" s="21">
        <v>0</v>
      </c>
      <c r="X32" s="21">
        <v>5</v>
      </c>
      <c r="Y32" s="21">
        <v>15</v>
      </c>
      <c r="Z32" s="21">
        <v>3</v>
      </c>
      <c r="AA32" s="21">
        <f t="shared" si="1"/>
        <v>32</v>
      </c>
      <c r="AB32" s="24"/>
      <c r="AC32" s="24"/>
    </row>
    <row r="33" spans="1:29" x14ac:dyDescent="0.25">
      <c r="A33" s="18" t="s">
        <v>39</v>
      </c>
      <c r="B33" s="13" t="s">
        <v>42</v>
      </c>
      <c r="C33" s="23">
        <v>261207</v>
      </c>
      <c r="D33" s="22">
        <v>205011</v>
      </c>
      <c r="E33" s="14">
        <f t="shared" si="0"/>
        <v>466218</v>
      </c>
      <c r="F33" s="14">
        <v>1341</v>
      </c>
      <c r="G33" s="15">
        <v>347.6644295302014</v>
      </c>
      <c r="H33" s="16">
        <v>7.5</v>
      </c>
      <c r="I33" s="24"/>
      <c r="J33" s="24"/>
      <c r="K33" s="24"/>
      <c r="L33" s="24"/>
      <c r="M33" s="24"/>
      <c r="N33" s="19">
        <f>E33/H33</f>
        <v>62162.400000000001</v>
      </c>
      <c r="O33" s="19">
        <v>183</v>
      </c>
      <c r="P33" s="20">
        <v>21</v>
      </c>
      <c r="Q33" s="19">
        <v>19</v>
      </c>
      <c r="R33" s="21">
        <v>1</v>
      </c>
      <c r="S33" s="21">
        <v>0</v>
      </c>
      <c r="T33" s="21">
        <v>0</v>
      </c>
      <c r="U33" s="19">
        <v>0</v>
      </c>
      <c r="V33" s="20">
        <v>0</v>
      </c>
      <c r="W33" s="19">
        <v>0</v>
      </c>
      <c r="X33" s="21">
        <v>0</v>
      </c>
      <c r="Y33" s="21">
        <v>0</v>
      </c>
      <c r="Z33" s="21">
        <v>0</v>
      </c>
      <c r="AA33" s="21">
        <f t="shared" si="1"/>
        <v>0</v>
      </c>
      <c r="AB33" s="24"/>
      <c r="AC33" s="24"/>
    </row>
    <row r="34" spans="1:29" x14ac:dyDescent="0.25">
      <c r="A34" s="18" t="s">
        <v>40</v>
      </c>
      <c r="B34" s="13" t="s">
        <v>42</v>
      </c>
      <c r="C34" s="23">
        <v>107269</v>
      </c>
      <c r="D34" s="22">
        <v>97775</v>
      </c>
      <c r="E34" s="14">
        <f t="shared" si="0"/>
        <v>205044</v>
      </c>
      <c r="F34" s="18">
        <v>4233</v>
      </c>
      <c r="G34" s="15">
        <v>48.439404677533666</v>
      </c>
      <c r="H34" s="16">
        <v>4.7</v>
      </c>
      <c r="I34" s="24">
        <v>1.8</v>
      </c>
      <c r="J34" s="24">
        <v>3.8</v>
      </c>
      <c r="K34" s="24">
        <v>16.72</v>
      </c>
      <c r="L34" s="24">
        <v>12.26</v>
      </c>
      <c r="M34" s="24">
        <v>65.42</v>
      </c>
      <c r="N34" s="19">
        <f>E34/H34</f>
        <v>43626.382978723399</v>
      </c>
      <c r="O34" s="19">
        <v>378</v>
      </c>
      <c r="P34" s="20">
        <v>27</v>
      </c>
      <c r="Q34" s="19">
        <v>17</v>
      </c>
      <c r="R34" s="21">
        <v>2</v>
      </c>
      <c r="S34" s="21">
        <v>1</v>
      </c>
      <c r="T34" s="21">
        <v>0</v>
      </c>
      <c r="U34" s="19">
        <v>1</v>
      </c>
      <c r="V34" s="20">
        <v>23</v>
      </c>
      <c r="W34" s="19">
        <v>0</v>
      </c>
      <c r="X34" s="21">
        <v>3</v>
      </c>
      <c r="Y34" s="21">
        <v>17</v>
      </c>
      <c r="Z34" s="21">
        <v>2</v>
      </c>
      <c r="AA34" s="21">
        <f t="shared" si="1"/>
        <v>46</v>
      </c>
      <c r="AB34" s="25"/>
      <c r="AC34" s="24"/>
    </row>
    <row r="35" spans="1:29" x14ac:dyDescent="0.25">
      <c r="A35" s="18" t="s">
        <v>41</v>
      </c>
      <c r="B35" s="13" t="s">
        <v>42</v>
      </c>
      <c r="C35" s="23">
        <v>141666</v>
      </c>
      <c r="D35" s="22">
        <v>137372</v>
      </c>
      <c r="E35" s="14">
        <f t="shared" si="0"/>
        <v>279038</v>
      </c>
      <c r="F35" s="18">
        <v>762</v>
      </c>
      <c r="G35" s="15">
        <v>366.19160104986878</v>
      </c>
      <c r="H35" s="16">
        <v>5.4</v>
      </c>
      <c r="I35" s="24">
        <v>1.8</v>
      </c>
      <c r="J35" s="17">
        <v>3.3</v>
      </c>
      <c r="K35" s="17">
        <v>1.52</v>
      </c>
      <c r="L35" s="17">
        <v>8.6199999999999992</v>
      </c>
      <c r="M35" s="17">
        <v>65.040000000000006</v>
      </c>
      <c r="N35" s="19">
        <f>E35/H35</f>
        <v>51673.703703703701</v>
      </c>
      <c r="O35" s="21">
        <v>196</v>
      </c>
      <c r="P35" s="20">
        <v>25</v>
      </c>
      <c r="Q35" s="21">
        <v>15</v>
      </c>
      <c r="R35" s="21">
        <v>4</v>
      </c>
      <c r="S35" s="21">
        <v>0</v>
      </c>
      <c r="T35" s="21">
        <v>0</v>
      </c>
      <c r="U35" s="21">
        <v>1</v>
      </c>
      <c r="V35" s="20">
        <v>27</v>
      </c>
      <c r="W35" s="21">
        <v>0</v>
      </c>
      <c r="X35" s="21">
        <v>1</v>
      </c>
      <c r="Y35" s="21">
        <v>6</v>
      </c>
      <c r="Z35" s="21">
        <v>1</v>
      </c>
      <c r="AA35" s="21">
        <f t="shared" si="1"/>
        <v>36</v>
      </c>
      <c r="AB35" s="25"/>
      <c r="AC35" s="24"/>
    </row>
    <row r="36" spans="1:29" x14ac:dyDescent="0.25">
      <c r="AB36" s="4"/>
      <c r="AC36" s="1"/>
    </row>
    <row r="37" spans="1:29" x14ac:dyDescent="0.25">
      <c r="AC37" s="1"/>
    </row>
    <row r="39" spans="1:29" x14ac:dyDescent="0.25">
      <c r="I39" s="6"/>
      <c r="J39" s="6"/>
      <c r="K39" s="6"/>
      <c r="L39" s="6"/>
      <c r="M39" s="6"/>
    </row>
    <row r="40" spans="1:29" x14ac:dyDescent="0.25">
      <c r="I40" s="6"/>
      <c r="J40" s="6"/>
      <c r="K40" s="6"/>
      <c r="L40" s="6"/>
      <c r="M40" s="6"/>
    </row>
    <row r="41" spans="1:29" x14ac:dyDescent="0.25">
      <c r="I41" s="6"/>
      <c r="J41" s="6"/>
      <c r="K41" s="6"/>
      <c r="L41" s="6"/>
      <c r="M41" s="6"/>
    </row>
    <row r="42" spans="1:29" x14ac:dyDescent="0.25">
      <c r="I42" s="5"/>
      <c r="J42" s="5"/>
      <c r="K42" s="5"/>
      <c r="L42" s="5"/>
      <c r="M4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Baloch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Imran Khan</dc:creator>
  <cp:lastModifiedBy>Salman Akbar</cp:lastModifiedBy>
  <dcterms:created xsi:type="dcterms:W3CDTF">2015-06-05T18:17:20Z</dcterms:created>
  <dcterms:modified xsi:type="dcterms:W3CDTF">2026-03-26T04:11:11Z</dcterms:modified>
</cp:coreProperties>
</file>