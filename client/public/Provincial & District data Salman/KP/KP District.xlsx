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IA &amp; PD\Infra portal data\Provincial &amp; District data Salman\KP\"/>
    </mc:Choice>
  </mc:AlternateContent>
  <xr:revisionPtr revIDLastSave="0" documentId="13_ncr:1_{33105FD8-A619-4013-AA0B-2700132098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P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36" i="4" l="1"/>
  <c r="AE35" i="4"/>
  <c r="AE34" i="4"/>
  <c r="AE33" i="4"/>
  <c r="AE32" i="4"/>
  <c r="AE31" i="4"/>
  <c r="AE30" i="4"/>
  <c r="AE29" i="4"/>
  <c r="AE28" i="4"/>
  <c r="AE27" i="4"/>
  <c r="AE26" i="4"/>
  <c r="AE25" i="4"/>
  <c r="AE24" i="4"/>
  <c r="AE23" i="4"/>
  <c r="AE22" i="4"/>
  <c r="AE21" i="4"/>
  <c r="AE20" i="4"/>
  <c r="AE19" i="4"/>
  <c r="AE18" i="4"/>
  <c r="AE17" i="4"/>
  <c r="AE16" i="4"/>
  <c r="AE15" i="4"/>
  <c r="AE14" i="4"/>
  <c r="AE13" i="4"/>
  <c r="AE12" i="4"/>
  <c r="AE11" i="4"/>
  <c r="AE10" i="4"/>
  <c r="AE9" i="4"/>
  <c r="AE8" i="4"/>
  <c r="AE7" i="4"/>
  <c r="AE6" i="4"/>
  <c r="AE5" i="4"/>
  <c r="AE4" i="4"/>
  <c r="AE3" i="4"/>
  <c r="AE2" i="4"/>
  <c r="AH36" i="4"/>
  <c r="AH35" i="4"/>
  <c r="AH34" i="4"/>
  <c r="AH33" i="4"/>
  <c r="AH32" i="4"/>
  <c r="AH31" i="4"/>
  <c r="AH30" i="4"/>
  <c r="AH29" i="4"/>
  <c r="AH28" i="4"/>
  <c r="AH27" i="4"/>
  <c r="AH26" i="4"/>
  <c r="AH25" i="4"/>
  <c r="AH24" i="4"/>
  <c r="AH23" i="4"/>
  <c r="AH22" i="4"/>
  <c r="AH21" i="4"/>
  <c r="AH20" i="4"/>
  <c r="AH19" i="4"/>
  <c r="AH18" i="4"/>
  <c r="AH17" i="4"/>
  <c r="AH16" i="4"/>
  <c r="AH15" i="4"/>
  <c r="AH14" i="4"/>
  <c r="AH13" i="4"/>
  <c r="AH12" i="4"/>
  <c r="AH11" i="4"/>
  <c r="AH10" i="4"/>
  <c r="AH9" i="4"/>
  <c r="AH8" i="4"/>
  <c r="AH7" i="4"/>
  <c r="AH6" i="4"/>
  <c r="AH5" i="4"/>
  <c r="AH4" i="4"/>
  <c r="AH3" i="4"/>
  <c r="AH2" i="4"/>
  <c r="I19" i="4"/>
  <c r="J19" i="4"/>
  <c r="K19" i="4"/>
  <c r="L19" i="4"/>
  <c r="H19" i="4"/>
  <c r="D19" i="4"/>
  <c r="D9" i="4"/>
  <c r="D8" i="4"/>
  <c r="D18" i="4" l="1"/>
  <c r="D35" i="4"/>
  <c r="D36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7" i="4"/>
  <c r="D16" i="4"/>
  <c r="D15" i="4"/>
  <c r="D14" i="4"/>
  <c r="D13" i="4"/>
  <c r="D12" i="4"/>
  <c r="D11" i="4"/>
  <c r="D10" i="4"/>
  <c r="D7" i="4"/>
  <c r="D6" i="4"/>
  <c r="D5" i="4"/>
  <c r="D4" i="4"/>
  <c r="D3" i="4"/>
  <c r="D2" i="4"/>
</calcChain>
</file>

<file path=xl/sharedStrings.xml><?xml version="1.0" encoding="utf-8"?>
<sst xmlns="http://schemas.openxmlformats.org/spreadsheetml/2006/main" count="69" uniqueCount="67">
  <si>
    <t>Total</t>
  </si>
  <si>
    <t>Districts</t>
  </si>
  <si>
    <t>Brick Masonry</t>
  </si>
  <si>
    <t>Block Masonry</t>
  </si>
  <si>
    <t>Stone Masonry</t>
  </si>
  <si>
    <t>Timber</t>
  </si>
  <si>
    <t>Adobe</t>
  </si>
  <si>
    <t>Total Str</t>
  </si>
  <si>
    <t>Bajaur</t>
  </si>
  <si>
    <t>North Waziristan</t>
  </si>
  <si>
    <t>Orakzai</t>
  </si>
  <si>
    <t>South Waziristan</t>
  </si>
  <si>
    <t>Abbotabad</t>
  </si>
  <si>
    <t>Bannu</t>
  </si>
  <si>
    <t>Batagram</t>
  </si>
  <si>
    <t>Buner</t>
  </si>
  <si>
    <t>Charsadda</t>
  </si>
  <si>
    <t>Dera Ismail Khan</t>
  </si>
  <si>
    <t>Hangu</t>
  </si>
  <si>
    <t>Haripur</t>
  </si>
  <si>
    <t>Karak</t>
  </si>
  <si>
    <t>Kohat</t>
  </si>
  <si>
    <t>Lakki Marwat</t>
  </si>
  <si>
    <t>Lower Dir</t>
  </si>
  <si>
    <t>Malakand</t>
  </si>
  <si>
    <t>Mansehra</t>
  </si>
  <si>
    <t>Mardan</t>
  </si>
  <si>
    <t>Nowshera</t>
  </si>
  <si>
    <t>Peshawar</t>
  </si>
  <si>
    <t>Swabi</t>
  </si>
  <si>
    <t>Shahgla</t>
  </si>
  <si>
    <t>Swat</t>
  </si>
  <si>
    <t>Tank</t>
  </si>
  <si>
    <t>Tor Ghar</t>
  </si>
  <si>
    <t>Upper Dir</t>
  </si>
  <si>
    <t>Male</t>
  </si>
  <si>
    <t>Female</t>
  </si>
  <si>
    <t>Area</t>
  </si>
  <si>
    <t>DENSITY /SQ.K.M</t>
  </si>
  <si>
    <t>AVR H.H SIZE</t>
  </si>
  <si>
    <t xml:space="preserve">Khyber </t>
  </si>
  <si>
    <t>Khurram</t>
  </si>
  <si>
    <t>Lower Chitral</t>
  </si>
  <si>
    <t>Lower Kohistan</t>
  </si>
  <si>
    <t xml:space="preserve">Mohmand </t>
  </si>
  <si>
    <t>Upper Chitral</t>
  </si>
  <si>
    <t>Upper Kohistan</t>
  </si>
  <si>
    <t>Kolai Palas</t>
  </si>
  <si>
    <t>Primary</t>
  </si>
  <si>
    <t>Middle</t>
  </si>
  <si>
    <t>High</t>
  </si>
  <si>
    <t>High Sec</t>
  </si>
  <si>
    <t>Deg Clgs</t>
  </si>
  <si>
    <t>PG</t>
  </si>
  <si>
    <t>Unis</t>
  </si>
  <si>
    <t>Mgt</t>
  </si>
  <si>
    <t>Tech</t>
  </si>
  <si>
    <t xml:space="preserve">High Type </t>
  </si>
  <si>
    <t>Low type</t>
  </si>
  <si>
    <t>Hospitals</t>
  </si>
  <si>
    <t>Dispensaries</t>
  </si>
  <si>
    <t>RHCs</t>
  </si>
  <si>
    <t>TB Clinics</t>
  </si>
  <si>
    <t>MCH</t>
  </si>
  <si>
    <t>SHC</t>
  </si>
  <si>
    <t>BHU</t>
  </si>
  <si>
    <t>Leprosy Clinic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</si>
</sst>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;\-0.00;\-"/>
    <numFmt numFmtId="166" formatCode="#,##0;\-#,##0;\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4" fillId="0" borderId="0">
      <alignment vertical="top"/>
    </xf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166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0" fontId="1" fillId="0" borderId="1" xfId="1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/>
  </cellXfs>
  <cellStyles count="3">
    <cellStyle name="40% - Accent1" xfId="1" builtinId="31"/>
    <cellStyle name="Normal" xfId="0" builtinId="0"/>
    <cellStyle name="Normal 2" xfId="2" xr:uid="{70866CB7-AFE8-4258-B366-0A8B05BC73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8D96-7192-40DE-BF5F-E7DB511D5274}">
  <dimension ref="A1:AH36"/>
  <sheetViews>
    <sheetView tabSelected="1" zoomScale="80" zoomScaleNormal="80" workbookViewId="0">
      <selection activeCell="O38" sqref="O38"/>
    </sheetView>
  </sheetViews>
  <sheetFormatPr defaultRowHeight="15" x14ac:dyDescent="0.25"/>
  <cols>
    <col min="1" max="1" width="29" style="1" customWidth="1"/>
    <col min="2" max="2" width="13.5703125" bestFit="1" customWidth="1"/>
    <col min="3" max="3" width="9.85546875" bestFit="1" customWidth="1"/>
    <col min="4" max="4" width="14.42578125" bestFit="1" customWidth="1"/>
    <col min="5" max="5" width="18.5703125" bestFit="1" customWidth="1"/>
    <col min="6" max="7" width="8.85546875" bestFit="1" customWidth="1"/>
    <col min="8" max="8" width="13.5703125" bestFit="1" customWidth="1"/>
    <col min="9" max="9" width="14" bestFit="1" customWidth="1"/>
    <col min="10" max="10" width="14.42578125" bestFit="1" customWidth="1"/>
    <col min="11" max="11" width="7.28515625" bestFit="1" customWidth="1"/>
    <col min="12" max="12" width="6.85546875" bestFit="1" customWidth="1"/>
    <col min="14" max="16" width="12.140625" customWidth="1"/>
    <col min="21" max="21" width="17.42578125" bestFit="1" customWidth="1"/>
    <col min="23" max="23" width="9.42578125" bestFit="1" customWidth="1"/>
    <col min="24" max="24" width="12.42578125" bestFit="1" customWidth="1"/>
    <col min="25" max="25" width="5.85546875" bestFit="1" customWidth="1"/>
    <col min="26" max="26" width="9.5703125" bestFit="1" customWidth="1"/>
    <col min="27" max="27" width="5.5703125" bestFit="1" customWidth="1"/>
    <col min="28" max="28" width="4.85546875" bestFit="1" customWidth="1"/>
    <col min="29" max="29" width="5.28515625" bestFit="1" customWidth="1"/>
    <col min="30" max="30" width="13.28515625" bestFit="1" customWidth="1"/>
    <col min="31" max="31" width="16.5703125" customWidth="1"/>
  </cols>
  <sheetData>
    <row r="1" spans="1:34" s="25" customFormat="1" ht="30" x14ac:dyDescent="0.25">
      <c r="A1" s="22" t="s">
        <v>1</v>
      </c>
      <c r="B1" s="20" t="s">
        <v>35</v>
      </c>
      <c r="C1" s="20" t="s">
        <v>36</v>
      </c>
      <c r="D1" s="20" t="s">
        <v>0</v>
      </c>
      <c r="E1" s="21" t="s">
        <v>37</v>
      </c>
      <c r="F1" s="21" t="s">
        <v>38</v>
      </c>
      <c r="G1" s="21" t="s">
        <v>39</v>
      </c>
      <c r="H1" s="22" t="s">
        <v>2</v>
      </c>
      <c r="I1" s="22" t="s">
        <v>3</v>
      </c>
      <c r="J1" s="22" t="s">
        <v>4</v>
      </c>
      <c r="K1" s="22" t="s">
        <v>5</v>
      </c>
      <c r="L1" s="22" t="s">
        <v>6</v>
      </c>
      <c r="M1" s="22" t="s">
        <v>7</v>
      </c>
      <c r="N1" s="23" t="s">
        <v>48</v>
      </c>
      <c r="O1" s="24" t="s">
        <v>49</v>
      </c>
      <c r="P1" s="23" t="s">
        <v>50</v>
      </c>
      <c r="Q1" s="24" t="s">
        <v>51</v>
      </c>
      <c r="R1" s="24" t="s">
        <v>52</v>
      </c>
      <c r="S1" s="24" t="s">
        <v>53</v>
      </c>
      <c r="T1" s="24" t="s">
        <v>54</v>
      </c>
      <c r="U1" s="24" t="s">
        <v>55</v>
      </c>
      <c r="V1" s="24" t="s">
        <v>56</v>
      </c>
      <c r="W1" s="23" t="s">
        <v>59</v>
      </c>
      <c r="X1" s="24" t="s">
        <v>60</v>
      </c>
      <c r="Y1" s="23" t="s">
        <v>61</v>
      </c>
      <c r="Z1" s="24" t="s">
        <v>62</v>
      </c>
      <c r="AA1" s="23" t="s">
        <v>63</v>
      </c>
      <c r="AB1" s="23" t="s">
        <v>64</v>
      </c>
      <c r="AC1" s="24" t="s">
        <v>65</v>
      </c>
      <c r="AD1" s="24" t="s">
        <v>66</v>
      </c>
      <c r="AE1" s="24" t="s">
        <v>0</v>
      </c>
      <c r="AF1" s="23" t="s">
        <v>57</v>
      </c>
      <c r="AG1" s="24" t="s">
        <v>58</v>
      </c>
      <c r="AH1" s="24" t="s">
        <v>0</v>
      </c>
    </row>
    <row r="2" spans="1:34" x14ac:dyDescent="0.25">
      <c r="A2" s="2" t="s">
        <v>12</v>
      </c>
      <c r="B2" s="3">
        <v>712322</v>
      </c>
      <c r="C2" s="4">
        <v>706750</v>
      </c>
      <c r="D2" s="5">
        <f t="shared" ref="D2:D36" si="0">SUM(B2:C2)</f>
        <v>1419072</v>
      </c>
      <c r="E2" s="3">
        <v>1967</v>
      </c>
      <c r="F2" s="6">
        <v>721.43975597356371</v>
      </c>
      <c r="G2" s="7">
        <v>5.9</v>
      </c>
      <c r="H2" s="8">
        <v>42.338275080834961</v>
      </c>
      <c r="I2" s="8">
        <v>30.724435255042561</v>
      </c>
      <c r="J2" s="8">
        <v>7.3433341398499881</v>
      </c>
      <c r="K2" s="8">
        <v>1.5254162725733014</v>
      </c>
      <c r="L2" s="8">
        <v>18.068539251699185</v>
      </c>
      <c r="M2" s="9">
        <v>181852</v>
      </c>
      <c r="N2" s="10">
        <v>1365</v>
      </c>
      <c r="O2" s="11">
        <v>172</v>
      </c>
      <c r="P2" s="12">
        <v>120</v>
      </c>
      <c r="Q2" s="13">
        <v>38</v>
      </c>
      <c r="R2" s="13">
        <v>14</v>
      </c>
      <c r="S2" s="13">
        <v>4</v>
      </c>
      <c r="T2" s="13">
        <v>1</v>
      </c>
      <c r="U2" s="12">
        <v>2</v>
      </c>
      <c r="V2" s="12">
        <v>3</v>
      </c>
      <c r="W2" s="13">
        <v>7</v>
      </c>
      <c r="X2" s="14">
        <v>42</v>
      </c>
      <c r="Y2" s="13">
        <v>7</v>
      </c>
      <c r="Z2" s="13">
        <v>1</v>
      </c>
      <c r="AA2" s="13">
        <v>2</v>
      </c>
      <c r="AB2" s="13">
        <v>1</v>
      </c>
      <c r="AC2" s="13">
        <v>53</v>
      </c>
      <c r="AD2" s="13">
        <v>1</v>
      </c>
      <c r="AE2" s="15">
        <f>SUM(W2:AD2)</f>
        <v>114</v>
      </c>
      <c r="AF2" s="13">
        <v>1222</v>
      </c>
      <c r="AG2" s="13">
        <v>47</v>
      </c>
      <c r="AH2" s="16">
        <f>SUM(AF2:AG2)</f>
        <v>1269</v>
      </c>
    </row>
    <row r="3" spans="1:34" x14ac:dyDescent="0.25">
      <c r="A3" s="2" t="s">
        <v>8</v>
      </c>
      <c r="B3" s="3">
        <v>650813</v>
      </c>
      <c r="C3" s="4">
        <v>637147</v>
      </c>
      <c r="D3" s="5">
        <f t="shared" si="0"/>
        <v>1287960</v>
      </c>
      <c r="E3" s="3">
        <v>1290</v>
      </c>
      <c r="F3" s="6">
        <v>998.4186046511627</v>
      </c>
      <c r="G3" s="7">
        <v>7</v>
      </c>
      <c r="H3" s="8">
        <v>6.1909013238103467</v>
      </c>
      <c r="I3" s="8">
        <v>7.0798414115523816</v>
      </c>
      <c r="J3" s="8">
        <v>33.717324731926006</v>
      </c>
      <c r="K3" s="8">
        <v>4.9314095364263837</v>
      </c>
      <c r="L3" s="8">
        <v>48.080522996284884</v>
      </c>
      <c r="M3" s="9">
        <v>104169</v>
      </c>
      <c r="N3" s="10">
        <v>543</v>
      </c>
      <c r="O3" s="11">
        <v>109</v>
      </c>
      <c r="P3" s="12">
        <v>44</v>
      </c>
      <c r="Q3" s="13">
        <v>7</v>
      </c>
      <c r="R3" s="13">
        <v>4</v>
      </c>
      <c r="S3" s="13">
        <v>1</v>
      </c>
      <c r="T3" s="13">
        <v>0</v>
      </c>
      <c r="U3" s="12">
        <v>1</v>
      </c>
      <c r="V3" s="12">
        <v>2</v>
      </c>
      <c r="W3" s="13">
        <v>4</v>
      </c>
      <c r="X3" s="13">
        <v>0</v>
      </c>
      <c r="Y3" s="13">
        <v>2</v>
      </c>
      <c r="Z3" s="13">
        <v>3</v>
      </c>
      <c r="AA3" s="13">
        <v>0</v>
      </c>
      <c r="AB3" s="13">
        <v>0</v>
      </c>
      <c r="AC3" s="13">
        <v>19</v>
      </c>
      <c r="AD3" s="13">
        <v>0</v>
      </c>
      <c r="AE3" s="15">
        <f t="shared" ref="AE3:AE36" si="1">SUM(W3:AD3)</f>
        <v>28</v>
      </c>
      <c r="AF3" s="17">
        <v>631</v>
      </c>
      <c r="AG3" s="17">
        <v>226</v>
      </c>
      <c r="AH3" s="16">
        <f t="shared" ref="AH3:AH36" si="2">SUM(AF3:AG3)</f>
        <v>857</v>
      </c>
    </row>
    <row r="4" spans="1:34" x14ac:dyDescent="0.25">
      <c r="A4" s="2" t="s">
        <v>13</v>
      </c>
      <c r="B4" s="3">
        <v>706113</v>
      </c>
      <c r="C4" s="4">
        <v>651777</v>
      </c>
      <c r="D4" s="5">
        <f t="shared" si="0"/>
        <v>1357890</v>
      </c>
      <c r="E4" s="3">
        <v>1972</v>
      </c>
      <c r="F4" s="6">
        <v>688.58519269776878</v>
      </c>
      <c r="G4" s="7">
        <v>7.4</v>
      </c>
      <c r="H4" s="8">
        <v>7.3518124496002022</v>
      </c>
      <c r="I4" s="8">
        <v>43.953481593750908</v>
      </c>
      <c r="J4" s="8">
        <v>2.0937169061567906</v>
      </c>
      <c r="K4" s="8">
        <v>3.1439758275282483</v>
      </c>
      <c r="L4" s="8">
        <v>43.457013222963852</v>
      </c>
      <c r="M4" s="18">
        <v>106941</v>
      </c>
      <c r="N4" s="10">
        <v>1610</v>
      </c>
      <c r="O4" s="11">
        <v>190</v>
      </c>
      <c r="P4" s="12">
        <v>138</v>
      </c>
      <c r="Q4" s="13">
        <v>40</v>
      </c>
      <c r="R4" s="13">
        <v>17</v>
      </c>
      <c r="S4" s="13">
        <v>2</v>
      </c>
      <c r="T4" s="13">
        <v>1</v>
      </c>
      <c r="U4" s="12">
        <v>2</v>
      </c>
      <c r="V4" s="12">
        <v>4</v>
      </c>
      <c r="W4" s="13">
        <v>6</v>
      </c>
      <c r="X4" s="13">
        <v>146</v>
      </c>
      <c r="Y4" s="13">
        <v>3</v>
      </c>
      <c r="Z4" s="13">
        <v>2</v>
      </c>
      <c r="AA4" s="13">
        <v>14</v>
      </c>
      <c r="AB4" s="13">
        <v>0</v>
      </c>
      <c r="AC4" s="13">
        <v>46</v>
      </c>
      <c r="AD4" s="13">
        <v>0</v>
      </c>
      <c r="AE4" s="15">
        <f t="shared" si="1"/>
        <v>217</v>
      </c>
      <c r="AF4" s="17">
        <v>1166</v>
      </c>
      <c r="AG4" s="17">
        <v>491</v>
      </c>
      <c r="AH4" s="16">
        <f t="shared" si="2"/>
        <v>1657</v>
      </c>
    </row>
    <row r="5" spans="1:34" x14ac:dyDescent="0.25">
      <c r="A5" s="2" t="s">
        <v>14</v>
      </c>
      <c r="B5" s="3">
        <v>281308</v>
      </c>
      <c r="C5" s="4">
        <v>272825</v>
      </c>
      <c r="D5" s="5">
        <f t="shared" si="0"/>
        <v>554133</v>
      </c>
      <c r="E5" s="3">
        <v>1301</v>
      </c>
      <c r="F5" s="6">
        <v>425.92851652574944</v>
      </c>
      <c r="G5" s="7">
        <v>6.4</v>
      </c>
      <c r="H5" s="8">
        <v>28.370536120358747</v>
      </c>
      <c r="I5" s="8">
        <v>31.985300805908786</v>
      </c>
      <c r="J5" s="8">
        <v>6.9493714639160258</v>
      </c>
      <c r="K5" s="8">
        <v>1.6791282359147883</v>
      </c>
      <c r="L5" s="8">
        <v>31.015663373901653</v>
      </c>
      <c r="M5" s="19">
        <v>54969</v>
      </c>
      <c r="N5" s="10">
        <v>706</v>
      </c>
      <c r="O5" s="11">
        <v>46</v>
      </c>
      <c r="P5" s="12">
        <v>45</v>
      </c>
      <c r="Q5" s="13">
        <v>8</v>
      </c>
      <c r="R5" s="13">
        <v>3</v>
      </c>
      <c r="S5" s="13">
        <v>0</v>
      </c>
      <c r="T5" s="13">
        <v>0</v>
      </c>
      <c r="U5" s="12">
        <v>0</v>
      </c>
      <c r="V5" s="12">
        <v>1</v>
      </c>
      <c r="W5" s="13">
        <v>2</v>
      </c>
      <c r="X5" s="13">
        <v>10</v>
      </c>
      <c r="Y5" s="13">
        <v>2</v>
      </c>
      <c r="Z5" s="13">
        <v>1</v>
      </c>
      <c r="AA5" s="13">
        <v>1</v>
      </c>
      <c r="AB5" s="13">
        <v>0</v>
      </c>
      <c r="AC5" s="13">
        <v>28</v>
      </c>
      <c r="AD5" s="13">
        <v>1</v>
      </c>
      <c r="AE5" s="15">
        <f t="shared" si="1"/>
        <v>45</v>
      </c>
      <c r="AF5" s="17">
        <v>310</v>
      </c>
      <c r="AG5" s="17">
        <v>320.5</v>
      </c>
      <c r="AH5" s="16">
        <f t="shared" si="2"/>
        <v>630.5</v>
      </c>
    </row>
    <row r="6" spans="1:34" x14ac:dyDescent="0.25">
      <c r="A6" s="2" t="s">
        <v>15</v>
      </c>
      <c r="B6" s="3">
        <v>508200</v>
      </c>
      <c r="C6" s="4">
        <v>508669</v>
      </c>
      <c r="D6" s="5">
        <f t="shared" si="0"/>
        <v>1016869</v>
      </c>
      <c r="E6" s="3">
        <v>1865</v>
      </c>
      <c r="F6" s="6">
        <v>545.23806970509384</v>
      </c>
      <c r="G6" s="7">
        <v>8.5</v>
      </c>
      <c r="H6" s="8">
        <v>41.862491567348776</v>
      </c>
      <c r="I6" s="8">
        <v>18.598212277940185</v>
      </c>
      <c r="J6" s="8">
        <v>15.636946255902856</v>
      </c>
      <c r="K6" s="8">
        <v>3.9633460760062964</v>
      </c>
      <c r="L6" s="8">
        <v>19.93900382280189</v>
      </c>
      <c r="M6" s="19">
        <v>71152</v>
      </c>
      <c r="N6" s="10">
        <v>653</v>
      </c>
      <c r="O6" s="11">
        <v>102</v>
      </c>
      <c r="P6" s="12">
        <v>80</v>
      </c>
      <c r="Q6" s="13">
        <v>41</v>
      </c>
      <c r="R6" s="13">
        <v>7</v>
      </c>
      <c r="S6" s="13">
        <v>0</v>
      </c>
      <c r="T6" s="13">
        <v>1</v>
      </c>
      <c r="U6" s="12">
        <v>1</v>
      </c>
      <c r="V6" s="12">
        <v>1</v>
      </c>
      <c r="W6" s="13">
        <v>4</v>
      </c>
      <c r="X6" s="13">
        <v>8</v>
      </c>
      <c r="Y6" s="13">
        <v>4</v>
      </c>
      <c r="Z6" s="13">
        <v>1</v>
      </c>
      <c r="AA6" s="13">
        <v>0</v>
      </c>
      <c r="AB6" s="13">
        <v>0</v>
      </c>
      <c r="AC6" s="13">
        <v>18</v>
      </c>
      <c r="AD6" s="13">
        <v>3</v>
      </c>
      <c r="AE6" s="15">
        <f t="shared" si="1"/>
        <v>38</v>
      </c>
      <c r="AF6" s="17">
        <v>483</v>
      </c>
      <c r="AG6" s="17">
        <v>34</v>
      </c>
      <c r="AH6" s="16">
        <f t="shared" si="2"/>
        <v>517</v>
      </c>
    </row>
    <row r="7" spans="1:34" x14ac:dyDescent="0.25">
      <c r="A7" s="2" t="s">
        <v>16</v>
      </c>
      <c r="B7" s="3">
        <v>950891</v>
      </c>
      <c r="C7" s="4">
        <v>884613</v>
      </c>
      <c r="D7" s="5">
        <f t="shared" si="0"/>
        <v>1835504</v>
      </c>
      <c r="E7" s="3">
        <v>996</v>
      </c>
      <c r="F7" s="6">
        <v>1842.8755020080321</v>
      </c>
      <c r="G7" s="7">
        <v>6.9</v>
      </c>
      <c r="H7" s="8">
        <v>33.809889912158738</v>
      </c>
      <c r="I7" s="8">
        <v>24.374178703264466</v>
      </c>
      <c r="J7" s="8">
        <v>18.158223327280957</v>
      </c>
      <c r="K7" s="8">
        <v>0.91658078833581424</v>
      </c>
      <c r="L7" s="8">
        <v>22.741127268960028</v>
      </c>
      <c r="M7" s="19">
        <v>183399</v>
      </c>
      <c r="N7" s="10">
        <v>942</v>
      </c>
      <c r="O7" s="11">
        <v>102</v>
      </c>
      <c r="P7" s="12">
        <v>117</v>
      </c>
      <c r="Q7" s="13">
        <v>31</v>
      </c>
      <c r="R7" s="13">
        <v>12</v>
      </c>
      <c r="S7" s="13">
        <v>1</v>
      </c>
      <c r="T7" s="13">
        <v>1</v>
      </c>
      <c r="U7" s="12">
        <v>2</v>
      </c>
      <c r="V7" s="12">
        <v>6</v>
      </c>
      <c r="W7" s="13">
        <v>5</v>
      </c>
      <c r="X7" s="13">
        <v>7</v>
      </c>
      <c r="Y7" s="13">
        <v>4</v>
      </c>
      <c r="Z7" s="13">
        <v>0</v>
      </c>
      <c r="AA7" s="13">
        <v>1</v>
      </c>
      <c r="AB7" s="13">
        <v>1</v>
      </c>
      <c r="AC7" s="13">
        <v>43</v>
      </c>
      <c r="AD7" s="13">
        <v>0</v>
      </c>
      <c r="AE7" s="15">
        <f t="shared" si="1"/>
        <v>61</v>
      </c>
      <c r="AF7" s="17">
        <v>514</v>
      </c>
      <c r="AG7" s="17">
        <v>0</v>
      </c>
      <c r="AH7" s="16">
        <f t="shared" si="2"/>
        <v>514</v>
      </c>
    </row>
    <row r="8" spans="1:34" x14ac:dyDescent="0.25">
      <c r="A8" s="2" t="s">
        <v>45</v>
      </c>
      <c r="B8" s="3">
        <v>100495</v>
      </c>
      <c r="C8" s="4">
        <v>95033</v>
      </c>
      <c r="D8" s="5">
        <f t="shared" si="0"/>
        <v>195528</v>
      </c>
      <c r="E8" s="3">
        <v>8392</v>
      </c>
      <c r="F8" s="6">
        <v>23.299332697807436</v>
      </c>
      <c r="G8" s="7">
        <v>7.4</v>
      </c>
      <c r="H8" s="8">
        <v>3.379202229576729</v>
      </c>
      <c r="I8" s="8">
        <v>8.418394008012541</v>
      </c>
      <c r="J8" s="8">
        <v>18.024734366835045</v>
      </c>
      <c r="K8" s="8">
        <v>2.3288625674969516</v>
      </c>
      <c r="L8" s="8">
        <v>67.848806828078736</v>
      </c>
      <c r="M8" s="18">
        <v>21757</v>
      </c>
      <c r="N8" s="10">
        <v>344</v>
      </c>
      <c r="O8" s="11">
        <v>40</v>
      </c>
      <c r="P8" s="12">
        <v>42</v>
      </c>
      <c r="Q8" s="13">
        <v>11</v>
      </c>
      <c r="R8" s="13">
        <v>3</v>
      </c>
      <c r="S8" s="13">
        <v>0</v>
      </c>
      <c r="T8" s="13">
        <v>0</v>
      </c>
      <c r="U8" s="12">
        <v>1</v>
      </c>
      <c r="V8" s="12">
        <v>3</v>
      </c>
      <c r="W8" s="13">
        <v>3</v>
      </c>
      <c r="X8" s="13">
        <v>20</v>
      </c>
      <c r="Y8" s="13">
        <v>3</v>
      </c>
      <c r="Z8" s="13">
        <v>2</v>
      </c>
      <c r="AA8" s="13">
        <v>2</v>
      </c>
      <c r="AB8" s="13">
        <v>0</v>
      </c>
      <c r="AC8" s="13">
        <v>9</v>
      </c>
      <c r="AD8" s="13">
        <v>2</v>
      </c>
      <c r="AE8" s="15">
        <f t="shared" si="1"/>
        <v>41</v>
      </c>
      <c r="AF8" s="17">
        <v>43</v>
      </c>
      <c r="AG8" s="17">
        <v>245</v>
      </c>
      <c r="AH8" s="16">
        <f t="shared" si="2"/>
        <v>288</v>
      </c>
    </row>
    <row r="9" spans="1:34" x14ac:dyDescent="0.25">
      <c r="A9" s="2" t="s">
        <v>42</v>
      </c>
      <c r="B9" s="3">
        <v>163584</v>
      </c>
      <c r="C9" s="4">
        <v>156823</v>
      </c>
      <c r="D9" s="5">
        <f t="shared" si="0"/>
        <v>320407</v>
      </c>
      <c r="E9" s="3">
        <v>6458</v>
      </c>
      <c r="F9" s="6">
        <v>49.613967172499223</v>
      </c>
      <c r="G9" s="7">
        <v>6.9</v>
      </c>
      <c r="H9" s="8">
        <v>3.379202229576729</v>
      </c>
      <c r="I9" s="8">
        <v>8.418394008012541</v>
      </c>
      <c r="J9" s="8">
        <v>18.024734366835045</v>
      </c>
      <c r="K9" s="8">
        <v>2.3288625674969516</v>
      </c>
      <c r="L9" s="8">
        <v>67.848806828078736</v>
      </c>
      <c r="M9" s="18">
        <v>35653</v>
      </c>
      <c r="N9" s="10">
        <v>278</v>
      </c>
      <c r="O9" s="11">
        <v>38</v>
      </c>
      <c r="P9" s="12">
        <v>38</v>
      </c>
      <c r="Q9" s="13">
        <v>6</v>
      </c>
      <c r="R9" s="13">
        <v>2</v>
      </c>
      <c r="S9" s="13">
        <v>0</v>
      </c>
      <c r="T9" s="13">
        <v>1</v>
      </c>
      <c r="U9" s="12">
        <v>0</v>
      </c>
      <c r="V9" s="12">
        <v>1</v>
      </c>
      <c r="W9" s="13">
        <v>1</v>
      </c>
      <c r="X9" s="13">
        <v>16</v>
      </c>
      <c r="Y9" s="13">
        <v>3</v>
      </c>
      <c r="Z9" s="13">
        <v>0</v>
      </c>
      <c r="AA9" s="13">
        <v>0</v>
      </c>
      <c r="AB9" s="13">
        <v>0</v>
      </c>
      <c r="AC9" s="13">
        <v>10</v>
      </c>
      <c r="AD9" s="13">
        <v>0</v>
      </c>
      <c r="AE9" s="15">
        <f t="shared" si="1"/>
        <v>30</v>
      </c>
      <c r="AF9" s="17">
        <v>51</v>
      </c>
      <c r="AG9" s="17">
        <v>366</v>
      </c>
      <c r="AH9" s="16">
        <f t="shared" si="2"/>
        <v>417</v>
      </c>
    </row>
    <row r="10" spans="1:34" x14ac:dyDescent="0.25">
      <c r="A10" s="2" t="s">
        <v>17</v>
      </c>
      <c r="B10" s="3">
        <v>959556</v>
      </c>
      <c r="C10" s="4">
        <v>870255</v>
      </c>
      <c r="D10" s="5">
        <f t="shared" si="0"/>
        <v>1829811</v>
      </c>
      <c r="E10" s="3">
        <v>9334</v>
      </c>
      <c r="F10" s="6">
        <v>196.03717591600602</v>
      </c>
      <c r="G10" s="7">
        <v>6.7</v>
      </c>
      <c r="H10" s="8">
        <v>2.8168853394181403</v>
      </c>
      <c r="I10" s="8">
        <v>45.15345122646891</v>
      </c>
      <c r="J10" s="8">
        <v>3.1985168282943524</v>
      </c>
      <c r="K10" s="8">
        <v>1.8054763262977753</v>
      </c>
      <c r="L10" s="8">
        <v>47.025670279520824</v>
      </c>
      <c r="M10" s="19">
        <v>181836</v>
      </c>
      <c r="N10" s="10">
        <v>1392</v>
      </c>
      <c r="O10" s="11">
        <v>219</v>
      </c>
      <c r="P10" s="12">
        <v>135</v>
      </c>
      <c r="Q10" s="13">
        <v>44</v>
      </c>
      <c r="R10" s="13">
        <v>23</v>
      </c>
      <c r="S10" s="13">
        <v>0</v>
      </c>
      <c r="T10" s="13">
        <v>2</v>
      </c>
      <c r="U10" s="12">
        <v>2</v>
      </c>
      <c r="V10" s="12">
        <v>5</v>
      </c>
      <c r="W10" s="13">
        <v>12</v>
      </c>
      <c r="X10" s="13">
        <v>42</v>
      </c>
      <c r="Y10" s="13">
        <v>3</v>
      </c>
      <c r="Z10" s="13">
        <v>1</v>
      </c>
      <c r="AA10" s="13">
        <v>7</v>
      </c>
      <c r="AB10" s="13">
        <v>2</v>
      </c>
      <c r="AC10" s="13">
        <v>40</v>
      </c>
      <c r="AD10" s="13">
        <v>0</v>
      </c>
      <c r="AE10" s="15">
        <f t="shared" si="1"/>
        <v>107</v>
      </c>
      <c r="AF10" s="17">
        <v>2800</v>
      </c>
      <c r="AG10" s="17">
        <v>1040</v>
      </c>
      <c r="AH10" s="16">
        <f t="shared" si="2"/>
        <v>3840</v>
      </c>
    </row>
    <row r="11" spans="1:34" x14ac:dyDescent="0.25">
      <c r="A11" s="2" t="s">
        <v>18</v>
      </c>
      <c r="B11" s="3">
        <v>260301</v>
      </c>
      <c r="C11" s="4">
        <v>268601</v>
      </c>
      <c r="D11" s="5">
        <f t="shared" si="0"/>
        <v>528902</v>
      </c>
      <c r="E11" s="3">
        <v>1097</v>
      </c>
      <c r="F11" s="6">
        <v>482.13491340018231</v>
      </c>
      <c r="G11" s="7">
        <v>8.6</v>
      </c>
      <c r="H11" s="8">
        <v>26.489237216643534</v>
      </c>
      <c r="I11" s="8">
        <v>34.038152774376137</v>
      </c>
      <c r="J11" s="8">
        <v>11.287996299017607</v>
      </c>
      <c r="K11" s="8">
        <v>2.0654747326312353</v>
      </c>
      <c r="L11" s="8">
        <v>26.119138977331485</v>
      </c>
      <c r="M11" s="18">
        <v>36747</v>
      </c>
      <c r="N11" s="10">
        <v>1237</v>
      </c>
      <c r="O11" s="11">
        <v>141</v>
      </c>
      <c r="P11" s="12">
        <v>130</v>
      </c>
      <c r="Q11" s="13">
        <v>62</v>
      </c>
      <c r="R11" s="13">
        <v>10</v>
      </c>
      <c r="S11" s="13">
        <v>1</v>
      </c>
      <c r="T11" s="13">
        <v>0</v>
      </c>
      <c r="U11" s="12">
        <v>3</v>
      </c>
      <c r="V11" s="12">
        <v>8</v>
      </c>
      <c r="W11" s="13">
        <v>7</v>
      </c>
      <c r="X11" s="13">
        <v>19</v>
      </c>
      <c r="Y11" s="13">
        <v>4</v>
      </c>
      <c r="Z11" s="13">
        <v>1</v>
      </c>
      <c r="AA11" s="13">
        <v>7</v>
      </c>
      <c r="AB11" s="13">
        <v>2</v>
      </c>
      <c r="AC11" s="13">
        <v>33</v>
      </c>
      <c r="AD11" s="13">
        <v>2</v>
      </c>
      <c r="AE11" s="15">
        <f t="shared" si="1"/>
        <v>75</v>
      </c>
      <c r="AF11" s="17">
        <v>1122</v>
      </c>
      <c r="AG11" s="17">
        <v>110</v>
      </c>
      <c r="AH11" s="16">
        <f t="shared" si="2"/>
        <v>1232</v>
      </c>
    </row>
    <row r="12" spans="1:34" x14ac:dyDescent="0.25">
      <c r="A12" s="2" t="s">
        <v>19</v>
      </c>
      <c r="B12" s="3">
        <v>591585</v>
      </c>
      <c r="C12" s="4">
        <v>583198</v>
      </c>
      <c r="D12" s="5">
        <f t="shared" si="0"/>
        <v>1174783</v>
      </c>
      <c r="E12" s="3">
        <v>1725</v>
      </c>
      <c r="F12" s="6">
        <v>681.03362318840573</v>
      </c>
      <c r="G12" s="7">
        <v>6.1</v>
      </c>
      <c r="H12" s="8">
        <v>64.178875676149175</v>
      </c>
      <c r="I12" s="8">
        <v>19.543174999452511</v>
      </c>
      <c r="J12" s="8">
        <v>7.907204228076707</v>
      </c>
      <c r="K12" s="8">
        <v>0.83291359160224543</v>
      </c>
      <c r="L12" s="8">
        <v>7.5378315047193567</v>
      </c>
      <c r="M12" s="18">
        <v>136989</v>
      </c>
      <c r="N12" s="10">
        <v>817</v>
      </c>
      <c r="O12" s="11">
        <v>87</v>
      </c>
      <c r="P12" s="12">
        <v>72</v>
      </c>
      <c r="Q12" s="13">
        <v>27</v>
      </c>
      <c r="R12" s="13">
        <v>6</v>
      </c>
      <c r="S12" s="13">
        <v>0</v>
      </c>
      <c r="T12" s="13">
        <v>1</v>
      </c>
      <c r="U12" s="12">
        <v>1</v>
      </c>
      <c r="V12" s="12">
        <v>1</v>
      </c>
      <c r="W12" s="13">
        <v>4</v>
      </c>
      <c r="X12" s="13">
        <v>11</v>
      </c>
      <c r="Y12" s="13">
        <v>4</v>
      </c>
      <c r="Z12" s="13">
        <v>1</v>
      </c>
      <c r="AA12" s="13">
        <v>1</v>
      </c>
      <c r="AB12" s="13">
        <v>2</v>
      </c>
      <c r="AC12" s="13">
        <v>31</v>
      </c>
      <c r="AD12" s="13">
        <v>3</v>
      </c>
      <c r="AE12" s="15">
        <f t="shared" si="1"/>
        <v>57</v>
      </c>
      <c r="AF12" s="17">
        <v>350</v>
      </c>
      <c r="AG12" s="17">
        <v>200</v>
      </c>
      <c r="AH12" s="16">
        <f t="shared" si="2"/>
        <v>550</v>
      </c>
    </row>
    <row r="13" spans="1:34" x14ac:dyDescent="0.25">
      <c r="A13" s="2" t="s">
        <v>20</v>
      </c>
      <c r="B13" s="3">
        <v>421303</v>
      </c>
      <c r="C13" s="4">
        <v>394575</v>
      </c>
      <c r="D13" s="5">
        <f t="shared" si="0"/>
        <v>815878</v>
      </c>
      <c r="E13" s="3">
        <v>3371</v>
      </c>
      <c r="F13" s="6">
        <v>242.02847819638089</v>
      </c>
      <c r="G13" s="7">
        <v>8.4</v>
      </c>
      <c r="H13" s="8">
        <v>2.1363159332365331</v>
      </c>
      <c r="I13" s="8">
        <v>64.474762431892344</v>
      </c>
      <c r="J13" s="8">
        <v>4.2625684670567434</v>
      </c>
      <c r="K13" s="8">
        <v>3.0592734225621414</v>
      </c>
      <c r="L13" s="8">
        <v>26.067079745252233</v>
      </c>
      <c r="M13" s="18">
        <v>69559</v>
      </c>
      <c r="N13" s="10">
        <v>332</v>
      </c>
      <c r="O13" s="11">
        <v>39</v>
      </c>
      <c r="P13" s="12">
        <v>39</v>
      </c>
      <c r="Q13" s="13">
        <v>11</v>
      </c>
      <c r="R13" s="13">
        <v>4</v>
      </c>
      <c r="S13" s="13">
        <v>0</v>
      </c>
      <c r="T13" s="13">
        <v>0</v>
      </c>
      <c r="U13" s="12">
        <v>1</v>
      </c>
      <c r="V13" s="12">
        <v>1</v>
      </c>
      <c r="W13" s="13">
        <v>4</v>
      </c>
      <c r="X13" s="13">
        <v>3</v>
      </c>
      <c r="Y13" s="13">
        <v>1</v>
      </c>
      <c r="Z13" s="13">
        <v>4</v>
      </c>
      <c r="AA13" s="13">
        <v>1</v>
      </c>
      <c r="AB13" s="13">
        <v>1</v>
      </c>
      <c r="AC13" s="13">
        <v>14</v>
      </c>
      <c r="AD13" s="13">
        <v>0</v>
      </c>
      <c r="AE13" s="15">
        <f t="shared" si="1"/>
        <v>28</v>
      </c>
      <c r="AF13" s="17">
        <v>398</v>
      </c>
      <c r="AG13" s="17">
        <v>152</v>
      </c>
      <c r="AH13" s="16">
        <f t="shared" si="2"/>
        <v>550</v>
      </c>
    </row>
    <row r="14" spans="1:34" x14ac:dyDescent="0.25">
      <c r="A14" s="2" t="s">
        <v>41</v>
      </c>
      <c r="B14" s="3">
        <v>406929</v>
      </c>
      <c r="C14" s="4">
        <v>378505</v>
      </c>
      <c r="D14" s="5">
        <f t="shared" si="0"/>
        <v>785434</v>
      </c>
      <c r="E14" s="3">
        <v>3380</v>
      </c>
      <c r="F14" s="6">
        <v>232.37692307692308</v>
      </c>
      <c r="G14" s="7">
        <v>8.3000000000000007</v>
      </c>
      <c r="H14" s="8">
        <v>11.398707581482396</v>
      </c>
      <c r="I14" s="8">
        <v>6.3261414597973094</v>
      </c>
      <c r="J14" s="8">
        <v>28.962887107595606</v>
      </c>
      <c r="K14" s="8">
        <v>5.8935696881952042</v>
      </c>
      <c r="L14" s="8">
        <v>47.418694162929484</v>
      </c>
      <c r="M14" s="18">
        <v>56638</v>
      </c>
      <c r="N14" s="10">
        <v>917</v>
      </c>
      <c r="O14" s="11">
        <v>130</v>
      </c>
      <c r="P14" s="12">
        <v>120</v>
      </c>
      <c r="Q14" s="13">
        <v>39</v>
      </c>
      <c r="R14" s="13">
        <v>11</v>
      </c>
      <c r="S14" s="13">
        <v>3</v>
      </c>
      <c r="T14" s="13">
        <v>1</v>
      </c>
      <c r="U14" s="12">
        <v>1</v>
      </c>
      <c r="V14" s="12">
        <v>5</v>
      </c>
      <c r="W14" s="13">
        <v>8</v>
      </c>
      <c r="X14" s="13">
        <v>9</v>
      </c>
      <c r="Y14" s="13">
        <v>6</v>
      </c>
      <c r="Z14" s="13">
        <v>1</v>
      </c>
      <c r="AA14" s="13">
        <v>2</v>
      </c>
      <c r="AB14" s="13">
        <v>6</v>
      </c>
      <c r="AC14" s="13">
        <v>38</v>
      </c>
      <c r="AD14" s="13">
        <v>1</v>
      </c>
      <c r="AE14" s="15">
        <f t="shared" si="1"/>
        <v>71</v>
      </c>
      <c r="AF14" s="17">
        <v>516</v>
      </c>
      <c r="AG14" s="17">
        <v>540</v>
      </c>
      <c r="AH14" s="16">
        <f t="shared" si="2"/>
        <v>1056</v>
      </c>
    </row>
    <row r="15" spans="1:34" x14ac:dyDescent="0.25">
      <c r="A15" s="2" t="s">
        <v>40</v>
      </c>
      <c r="B15" s="3">
        <v>598278</v>
      </c>
      <c r="C15" s="4">
        <v>547989</v>
      </c>
      <c r="D15" s="5">
        <f t="shared" si="0"/>
        <v>1146267</v>
      </c>
      <c r="E15" s="3">
        <v>2576</v>
      </c>
      <c r="F15" s="6">
        <v>444.97942546583852</v>
      </c>
      <c r="G15" s="7">
        <v>6.8</v>
      </c>
      <c r="H15" s="8">
        <v>5.7473655019412089</v>
      </c>
      <c r="I15" s="8">
        <v>19.848863006100942</v>
      </c>
      <c r="J15" s="8">
        <v>18.635607321131449</v>
      </c>
      <c r="K15" s="8">
        <v>3.9517470881863561</v>
      </c>
      <c r="L15" s="8">
        <v>51.816417082640044</v>
      </c>
      <c r="M15" s="18">
        <v>100968</v>
      </c>
      <c r="N15" s="10">
        <v>790</v>
      </c>
      <c r="O15" s="11">
        <v>87</v>
      </c>
      <c r="P15" s="12">
        <v>84</v>
      </c>
      <c r="Q15" s="13">
        <v>19</v>
      </c>
      <c r="R15" s="13">
        <v>9</v>
      </c>
      <c r="S15" s="13">
        <v>1</v>
      </c>
      <c r="T15" s="13">
        <v>1</v>
      </c>
      <c r="U15" s="12">
        <v>1</v>
      </c>
      <c r="V15" s="12">
        <v>3</v>
      </c>
      <c r="W15" s="13">
        <v>6</v>
      </c>
      <c r="X15" s="13">
        <v>3</v>
      </c>
      <c r="Y15" s="13">
        <v>7</v>
      </c>
      <c r="Z15" s="13">
        <v>1</v>
      </c>
      <c r="AA15" s="13">
        <v>2</v>
      </c>
      <c r="AB15" s="13">
        <v>0</v>
      </c>
      <c r="AC15" s="13">
        <v>19</v>
      </c>
      <c r="AD15" s="13">
        <v>0</v>
      </c>
      <c r="AE15" s="15">
        <f t="shared" si="1"/>
        <v>38</v>
      </c>
      <c r="AF15" s="17">
        <v>586</v>
      </c>
      <c r="AG15" s="17">
        <v>0</v>
      </c>
      <c r="AH15" s="16">
        <f t="shared" si="2"/>
        <v>586</v>
      </c>
    </row>
    <row r="16" spans="1:34" x14ac:dyDescent="0.25">
      <c r="A16" s="2" t="s">
        <v>21</v>
      </c>
      <c r="B16" s="3">
        <v>629595</v>
      </c>
      <c r="C16" s="4">
        <v>605066</v>
      </c>
      <c r="D16" s="5">
        <f t="shared" si="0"/>
        <v>1234661</v>
      </c>
      <c r="E16" s="3">
        <v>2991</v>
      </c>
      <c r="F16" s="6">
        <v>412.79204279505183</v>
      </c>
      <c r="G16" s="7">
        <v>7.2</v>
      </c>
      <c r="H16" s="8">
        <v>30.485323736594044</v>
      </c>
      <c r="I16" s="8">
        <v>38.405700790299662</v>
      </c>
      <c r="J16" s="8">
        <v>7.4470151618938569</v>
      </c>
      <c r="K16" s="8">
        <v>1.7912095776548651</v>
      </c>
      <c r="L16" s="8">
        <v>21.870750733557575</v>
      </c>
      <c r="M16" s="18">
        <v>111155</v>
      </c>
      <c r="N16" s="10">
        <v>598</v>
      </c>
      <c r="O16" s="11">
        <v>87</v>
      </c>
      <c r="P16" s="12">
        <v>51</v>
      </c>
      <c r="Q16" s="13">
        <v>6</v>
      </c>
      <c r="R16" s="13">
        <v>6</v>
      </c>
      <c r="S16" s="13">
        <v>0</v>
      </c>
      <c r="T16" s="13">
        <v>0</v>
      </c>
      <c r="U16" s="12">
        <v>1</v>
      </c>
      <c r="V16" s="12">
        <v>2</v>
      </c>
      <c r="W16" s="13">
        <v>5</v>
      </c>
      <c r="X16" s="13">
        <v>28</v>
      </c>
      <c r="Y16" s="13">
        <v>2</v>
      </c>
      <c r="Z16" s="13">
        <v>4</v>
      </c>
      <c r="AA16" s="13">
        <v>2</v>
      </c>
      <c r="AB16" s="13">
        <v>0</v>
      </c>
      <c r="AC16" s="13">
        <v>12</v>
      </c>
      <c r="AD16" s="13">
        <v>0</v>
      </c>
      <c r="AE16" s="15">
        <f t="shared" si="1"/>
        <v>53</v>
      </c>
      <c r="AF16" s="17">
        <v>1137</v>
      </c>
      <c r="AG16" s="17">
        <v>49</v>
      </c>
      <c r="AH16" s="16">
        <f t="shared" si="2"/>
        <v>1186</v>
      </c>
    </row>
    <row r="17" spans="1:34" x14ac:dyDescent="0.25">
      <c r="A17" s="2" t="s">
        <v>46</v>
      </c>
      <c r="B17" s="3">
        <v>216188</v>
      </c>
      <c r="C17" s="4">
        <v>206759</v>
      </c>
      <c r="D17" s="5">
        <f t="shared" si="0"/>
        <v>422947</v>
      </c>
      <c r="E17" s="3">
        <v>5440</v>
      </c>
      <c r="F17" s="6">
        <v>77.747610294117649</v>
      </c>
      <c r="G17" s="7">
        <v>5.9</v>
      </c>
      <c r="H17" s="8">
        <v>6.0872293693128334</v>
      </c>
      <c r="I17" s="8">
        <v>3.2956803681623259</v>
      </c>
      <c r="J17" s="8">
        <v>38.683192134713941</v>
      </c>
      <c r="K17" s="8">
        <v>33.193180629641247</v>
      </c>
      <c r="L17" s="8">
        <v>18.740717498169648</v>
      </c>
      <c r="M17" s="18">
        <v>38766</v>
      </c>
      <c r="N17" s="10">
        <v>827</v>
      </c>
      <c r="O17" s="11">
        <v>112</v>
      </c>
      <c r="P17" s="12">
        <v>93</v>
      </c>
      <c r="Q17" s="13">
        <v>33</v>
      </c>
      <c r="R17" s="13">
        <v>13</v>
      </c>
      <c r="S17" s="13">
        <v>2</v>
      </c>
      <c r="T17" s="13">
        <v>2</v>
      </c>
      <c r="U17" s="12">
        <v>1</v>
      </c>
      <c r="V17" s="12">
        <v>3</v>
      </c>
      <c r="W17" s="13">
        <v>7</v>
      </c>
      <c r="X17" s="13">
        <v>15</v>
      </c>
      <c r="Y17" s="13">
        <v>4</v>
      </c>
      <c r="Z17" s="13">
        <v>0</v>
      </c>
      <c r="AA17" s="13">
        <v>2</v>
      </c>
      <c r="AB17" s="13">
        <v>3</v>
      </c>
      <c r="AC17" s="13">
        <v>29</v>
      </c>
      <c r="AD17" s="13">
        <v>0</v>
      </c>
      <c r="AE17" s="15">
        <f t="shared" si="1"/>
        <v>60</v>
      </c>
      <c r="AF17" s="17">
        <v>814</v>
      </c>
      <c r="AG17" s="17">
        <v>340</v>
      </c>
      <c r="AH17" s="16">
        <f t="shared" si="2"/>
        <v>1154</v>
      </c>
    </row>
    <row r="18" spans="1:34" x14ac:dyDescent="0.25">
      <c r="A18" s="2" t="s">
        <v>43</v>
      </c>
      <c r="B18" s="3">
        <v>173666</v>
      </c>
      <c r="C18" s="4">
        <v>166351</v>
      </c>
      <c r="D18" s="5">
        <f t="shared" si="0"/>
        <v>340017</v>
      </c>
      <c r="E18" s="3">
        <v>642</v>
      </c>
      <c r="F18" s="6">
        <v>529.62149532710282</v>
      </c>
      <c r="G18" s="7">
        <v>6.4</v>
      </c>
      <c r="H18" s="8">
        <v>6.0872293693128334</v>
      </c>
      <c r="I18" s="8">
        <v>3.2956803681623259</v>
      </c>
      <c r="J18" s="8">
        <v>38.683192134713941</v>
      </c>
      <c r="K18" s="8">
        <v>33.193180629641247</v>
      </c>
      <c r="L18" s="8">
        <v>18.740717498169648</v>
      </c>
      <c r="M18" s="18">
        <v>31165</v>
      </c>
      <c r="N18" s="10">
        <v>209</v>
      </c>
      <c r="O18" s="11">
        <v>26</v>
      </c>
      <c r="P18" s="12">
        <v>7</v>
      </c>
      <c r="Q18" s="13">
        <v>3</v>
      </c>
      <c r="R18" s="13">
        <v>0</v>
      </c>
      <c r="S18" s="13">
        <v>0</v>
      </c>
      <c r="T18" s="13">
        <v>0</v>
      </c>
      <c r="U18" s="12">
        <v>0</v>
      </c>
      <c r="V18" s="12">
        <v>0</v>
      </c>
      <c r="W18" s="13">
        <v>0</v>
      </c>
      <c r="X18" s="13">
        <v>0</v>
      </c>
      <c r="Y18" s="13">
        <v>0</v>
      </c>
      <c r="Z18" s="13">
        <v>1</v>
      </c>
      <c r="AA18" s="13">
        <v>0</v>
      </c>
      <c r="AB18" s="13">
        <v>0</v>
      </c>
      <c r="AC18" s="13">
        <v>10</v>
      </c>
      <c r="AD18" s="13">
        <v>0</v>
      </c>
      <c r="AE18" s="15">
        <f t="shared" si="1"/>
        <v>11</v>
      </c>
      <c r="AF18" s="17">
        <v>74</v>
      </c>
      <c r="AG18" s="17">
        <v>63</v>
      </c>
      <c r="AH18" s="16">
        <f t="shared" si="2"/>
        <v>137</v>
      </c>
    </row>
    <row r="19" spans="1:34" x14ac:dyDescent="0.25">
      <c r="A19" s="2" t="s">
        <v>47</v>
      </c>
      <c r="B19" s="3">
        <v>142590</v>
      </c>
      <c r="C19" s="3">
        <v>137572</v>
      </c>
      <c r="D19" s="5">
        <f t="shared" si="0"/>
        <v>280162</v>
      </c>
      <c r="E19" s="3">
        <v>1410</v>
      </c>
      <c r="F19" s="6">
        <v>198.6964539007092</v>
      </c>
      <c r="G19" s="7">
        <v>6.9</v>
      </c>
      <c r="H19" s="8">
        <f>AVERAGE(H17:H18)</f>
        <v>6.0872293693128334</v>
      </c>
      <c r="I19" s="8">
        <f t="shared" ref="I19:L19" si="3">AVERAGE(I17:I18)</f>
        <v>3.2956803681623259</v>
      </c>
      <c r="J19" s="8">
        <f t="shared" si="3"/>
        <v>38.683192134713941</v>
      </c>
      <c r="K19" s="8">
        <f t="shared" si="3"/>
        <v>33.193180629641247</v>
      </c>
      <c r="L19" s="8">
        <f t="shared" si="3"/>
        <v>18.740717498169648</v>
      </c>
      <c r="M19" s="18">
        <v>25679</v>
      </c>
      <c r="N19" s="10">
        <v>296</v>
      </c>
      <c r="O19" s="11">
        <v>30</v>
      </c>
      <c r="P19" s="12">
        <v>12</v>
      </c>
      <c r="Q19" s="13">
        <v>3</v>
      </c>
      <c r="R19" s="13">
        <v>2</v>
      </c>
      <c r="S19" s="13">
        <v>0</v>
      </c>
      <c r="T19" s="13">
        <v>0</v>
      </c>
      <c r="U19" s="12">
        <v>0</v>
      </c>
      <c r="V19" s="12">
        <v>1</v>
      </c>
      <c r="W19" s="13">
        <v>1</v>
      </c>
      <c r="X19" s="13">
        <v>1</v>
      </c>
      <c r="Y19" s="13">
        <v>1</v>
      </c>
      <c r="Z19" s="13">
        <v>0</v>
      </c>
      <c r="AA19" s="13">
        <v>0</v>
      </c>
      <c r="AB19" s="13">
        <v>0</v>
      </c>
      <c r="AC19" s="13">
        <v>9</v>
      </c>
      <c r="AD19" s="13">
        <v>0</v>
      </c>
      <c r="AE19" s="15">
        <f t="shared" si="1"/>
        <v>12</v>
      </c>
      <c r="AF19" s="17">
        <v>45</v>
      </c>
      <c r="AG19" s="17">
        <v>109</v>
      </c>
      <c r="AH19" s="16">
        <f t="shared" si="2"/>
        <v>154</v>
      </c>
    </row>
    <row r="20" spans="1:34" x14ac:dyDescent="0.25">
      <c r="A20" s="2" t="s">
        <v>22</v>
      </c>
      <c r="B20" s="3">
        <v>527134</v>
      </c>
      <c r="C20" s="4">
        <v>513722</v>
      </c>
      <c r="D20" s="5">
        <f t="shared" si="0"/>
        <v>1040856</v>
      </c>
      <c r="E20" s="3">
        <v>3296</v>
      </c>
      <c r="F20" s="6">
        <v>315.79368932038835</v>
      </c>
      <c r="G20" s="7">
        <v>7.8</v>
      </c>
      <c r="H20" s="8">
        <v>1.1037942235873865</v>
      </c>
      <c r="I20" s="8">
        <v>33.524849181269751</v>
      </c>
      <c r="J20" s="8">
        <v>9.649084038627274</v>
      </c>
      <c r="K20" s="8">
        <v>2.2484697147150463</v>
      </c>
      <c r="L20" s="8">
        <v>53.473802841800541</v>
      </c>
      <c r="M20" s="18">
        <v>93746</v>
      </c>
      <c r="N20" s="10">
        <v>381</v>
      </c>
      <c r="O20" s="11">
        <v>28</v>
      </c>
      <c r="P20" s="12">
        <v>16</v>
      </c>
      <c r="Q20" s="13">
        <v>0</v>
      </c>
      <c r="R20" s="13">
        <v>0</v>
      </c>
      <c r="S20" s="13">
        <v>0</v>
      </c>
      <c r="T20" s="13">
        <v>0</v>
      </c>
      <c r="U20" s="12">
        <v>0</v>
      </c>
      <c r="V20" s="12">
        <v>0</v>
      </c>
      <c r="W20" s="13">
        <v>0</v>
      </c>
      <c r="X20" s="13">
        <v>3</v>
      </c>
      <c r="Y20" s="13">
        <v>2</v>
      </c>
      <c r="Z20" s="13">
        <v>1</v>
      </c>
      <c r="AA20" s="13">
        <v>0</v>
      </c>
      <c r="AB20" s="13">
        <v>0</v>
      </c>
      <c r="AC20" s="13">
        <v>14</v>
      </c>
      <c r="AD20" s="13">
        <v>1</v>
      </c>
      <c r="AE20" s="15">
        <f t="shared" si="1"/>
        <v>21</v>
      </c>
      <c r="AF20" s="17">
        <v>89</v>
      </c>
      <c r="AG20" s="17">
        <v>79</v>
      </c>
      <c r="AH20" s="16">
        <f t="shared" si="2"/>
        <v>168</v>
      </c>
    </row>
    <row r="21" spans="1:34" x14ac:dyDescent="0.25">
      <c r="A21" s="2" t="s">
        <v>23</v>
      </c>
      <c r="B21" s="3">
        <v>813578</v>
      </c>
      <c r="C21" s="4">
        <v>836605</v>
      </c>
      <c r="D21" s="5">
        <f t="shared" si="0"/>
        <v>1650183</v>
      </c>
      <c r="E21" s="3">
        <v>1583</v>
      </c>
      <c r="F21" s="6">
        <v>1042.4403032217308</v>
      </c>
      <c r="G21" s="7">
        <v>8.1</v>
      </c>
      <c r="H21" s="8">
        <v>43.765987174434848</v>
      </c>
      <c r="I21" s="8">
        <v>8.4003869164905236</v>
      </c>
      <c r="J21" s="8">
        <v>27.893096406692223</v>
      </c>
      <c r="K21" s="8">
        <v>3.4958621430874501</v>
      </c>
      <c r="L21" s="8">
        <v>16.444667359294954</v>
      </c>
      <c r="M21" s="18">
        <v>139565</v>
      </c>
      <c r="N21" s="10">
        <v>548</v>
      </c>
      <c r="O21" s="11">
        <v>97</v>
      </c>
      <c r="P21" s="12">
        <v>71</v>
      </c>
      <c r="Q21" s="13">
        <v>7</v>
      </c>
      <c r="R21" s="13">
        <v>7</v>
      </c>
      <c r="S21" s="13">
        <v>1</v>
      </c>
      <c r="T21" s="13">
        <v>0</v>
      </c>
      <c r="U21" s="12">
        <v>1</v>
      </c>
      <c r="V21" s="12">
        <v>3</v>
      </c>
      <c r="W21" s="13">
        <v>5</v>
      </c>
      <c r="X21" s="13">
        <v>48</v>
      </c>
      <c r="Y21" s="13">
        <v>0</v>
      </c>
      <c r="Z21" s="13">
        <v>3</v>
      </c>
      <c r="AA21" s="13">
        <v>1</v>
      </c>
      <c r="AB21" s="13">
        <v>0</v>
      </c>
      <c r="AC21" s="13">
        <v>22</v>
      </c>
      <c r="AD21" s="13">
        <v>0</v>
      </c>
      <c r="AE21" s="15">
        <f t="shared" si="1"/>
        <v>79</v>
      </c>
      <c r="AF21" s="17">
        <v>1157</v>
      </c>
      <c r="AG21" s="17">
        <v>340</v>
      </c>
      <c r="AH21" s="16">
        <f t="shared" si="2"/>
        <v>1497</v>
      </c>
    </row>
    <row r="22" spans="1:34" x14ac:dyDescent="0.25">
      <c r="A22" s="2" t="s">
        <v>24</v>
      </c>
      <c r="B22" s="3">
        <v>422804</v>
      </c>
      <c r="C22" s="4">
        <v>403446</v>
      </c>
      <c r="D22" s="5">
        <f t="shared" si="0"/>
        <v>826250</v>
      </c>
      <c r="E22" s="3">
        <v>952</v>
      </c>
      <c r="F22" s="6">
        <v>867.90966386554612</v>
      </c>
      <c r="G22" s="7">
        <v>7.3</v>
      </c>
      <c r="H22" s="8">
        <v>55.607162919424006</v>
      </c>
      <c r="I22" s="8">
        <v>12.109005713346212</v>
      </c>
      <c r="J22" s="8">
        <v>13.511995286831901</v>
      </c>
      <c r="K22" s="8">
        <v>2.2839683779303162</v>
      </c>
      <c r="L22" s="8">
        <v>16.487867702467561</v>
      </c>
      <c r="M22" s="18">
        <v>72987</v>
      </c>
      <c r="N22" s="10">
        <v>993</v>
      </c>
      <c r="O22" s="11">
        <v>116</v>
      </c>
      <c r="P22" s="12">
        <v>87</v>
      </c>
      <c r="Q22" s="13">
        <v>20</v>
      </c>
      <c r="R22" s="13">
        <v>7</v>
      </c>
      <c r="S22" s="13">
        <v>1</v>
      </c>
      <c r="T22" s="13">
        <v>1</v>
      </c>
      <c r="U22" s="12">
        <v>1</v>
      </c>
      <c r="V22" s="12">
        <v>2</v>
      </c>
      <c r="W22" s="13">
        <v>5</v>
      </c>
      <c r="X22" s="13">
        <v>20</v>
      </c>
      <c r="Y22" s="13">
        <v>4</v>
      </c>
      <c r="Z22" s="13">
        <v>0</v>
      </c>
      <c r="AA22" s="13">
        <v>2</v>
      </c>
      <c r="AB22" s="13">
        <v>2</v>
      </c>
      <c r="AC22" s="13">
        <v>30</v>
      </c>
      <c r="AD22" s="13">
        <v>0</v>
      </c>
      <c r="AE22" s="15">
        <f t="shared" si="1"/>
        <v>63</v>
      </c>
      <c r="AF22" s="17">
        <v>552</v>
      </c>
      <c r="AG22" s="17">
        <v>94</v>
      </c>
      <c r="AH22" s="16">
        <f t="shared" si="2"/>
        <v>646</v>
      </c>
    </row>
    <row r="23" spans="1:34" x14ac:dyDescent="0.25">
      <c r="A23" s="2" t="s">
        <v>25</v>
      </c>
      <c r="B23" s="3">
        <v>912271</v>
      </c>
      <c r="C23" s="4">
        <v>884906</v>
      </c>
      <c r="D23" s="5">
        <f t="shared" si="0"/>
        <v>1797177</v>
      </c>
      <c r="E23" s="3">
        <v>4125</v>
      </c>
      <c r="F23" s="6">
        <v>435.67927272727269</v>
      </c>
      <c r="G23" s="7">
        <v>6.1</v>
      </c>
      <c r="H23" s="8">
        <v>33.933768388013149</v>
      </c>
      <c r="I23" s="8">
        <v>43.294893570527528</v>
      </c>
      <c r="J23" s="8">
        <v>4.3689223953832554</v>
      </c>
      <c r="K23" s="8">
        <v>0.93516890650297491</v>
      </c>
      <c r="L23" s="8">
        <v>17.467246739573092</v>
      </c>
      <c r="M23" s="18">
        <v>201354</v>
      </c>
      <c r="N23" s="10">
        <v>557</v>
      </c>
      <c r="O23" s="11">
        <v>62</v>
      </c>
      <c r="P23" s="12">
        <v>71</v>
      </c>
      <c r="Q23" s="13">
        <v>19</v>
      </c>
      <c r="R23" s="13">
        <v>12</v>
      </c>
      <c r="S23" s="13">
        <v>1</v>
      </c>
      <c r="T23" s="13">
        <v>1</v>
      </c>
      <c r="U23" s="12">
        <v>1</v>
      </c>
      <c r="V23" s="12">
        <v>2</v>
      </c>
      <c r="W23" s="13">
        <v>6</v>
      </c>
      <c r="X23" s="13">
        <v>11</v>
      </c>
      <c r="Y23" s="13">
        <v>5</v>
      </c>
      <c r="Z23" s="13">
        <v>0</v>
      </c>
      <c r="AA23" s="13">
        <v>2</v>
      </c>
      <c r="AB23" s="13">
        <v>0</v>
      </c>
      <c r="AC23" s="13">
        <v>20</v>
      </c>
      <c r="AD23" s="13">
        <v>0</v>
      </c>
      <c r="AE23" s="15">
        <f t="shared" si="1"/>
        <v>44</v>
      </c>
      <c r="AF23" s="17">
        <v>367</v>
      </c>
      <c r="AG23" s="17">
        <v>85</v>
      </c>
      <c r="AH23" s="16">
        <f t="shared" si="2"/>
        <v>452</v>
      </c>
    </row>
    <row r="24" spans="1:34" x14ac:dyDescent="0.25">
      <c r="A24" s="2" t="s">
        <v>26</v>
      </c>
      <c r="B24" s="3">
        <v>1408829</v>
      </c>
      <c r="C24" s="4">
        <v>1336069</v>
      </c>
      <c r="D24" s="5">
        <f t="shared" si="0"/>
        <v>2744898</v>
      </c>
      <c r="E24" s="3">
        <v>1632</v>
      </c>
      <c r="F24" s="6">
        <v>1681.9227941176471</v>
      </c>
      <c r="G24" s="7">
        <v>6.8</v>
      </c>
      <c r="H24" s="8">
        <v>49.002495773287173</v>
      </c>
      <c r="I24" s="8">
        <v>21.254729892923276</v>
      </c>
      <c r="J24" s="8">
        <v>13.211899202962725</v>
      </c>
      <c r="K24" s="8">
        <v>0.8916351340471782</v>
      </c>
      <c r="L24" s="8">
        <v>15.639239996779647</v>
      </c>
      <c r="M24" s="18">
        <v>248420</v>
      </c>
      <c r="N24" s="10">
        <v>1823</v>
      </c>
      <c r="O24" s="11">
        <v>187</v>
      </c>
      <c r="P24" s="12">
        <v>144</v>
      </c>
      <c r="Q24" s="13">
        <v>47</v>
      </c>
      <c r="R24" s="13">
        <v>11</v>
      </c>
      <c r="S24" s="13">
        <v>1</v>
      </c>
      <c r="T24" s="13">
        <v>1</v>
      </c>
      <c r="U24" s="12">
        <v>2</v>
      </c>
      <c r="V24" s="12">
        <v>5</v>
      </c>
      <c r="W24" s="13">
        <v>7</v>
      </c>
      <c r="X24" s="13">
        <v>62</v>
      </c>
      <c r="Y24" s="13">
        <v>13</v>
      </c>
      <c r="Z24" s="13">
        <v>1</v>
      </c>
      <c r="AA24" s="13">
        <v>3</v>
      </c>
      <c r="AB24" s="13">
        <v>0</v>
      </c>
      <c r="AC24" s="13">
        <v>51</v>
      </c>
      <c r="AD24" s="13">
        <v>1</v>
      </c>
      <c r="AE24" s="15">
        <f t="shared" si="1"/>
        <v>138</v>
      </c>
      <c r="AF24" s="17">
        <v>931</v>
      </c>
      <c r="AG24" s="17">
        <v>151</v>
      </c>
      <c r="AH24" s="16">
        <f t="shared" si="2"/>
        <v>1082</v>
      </c>
    </row>
    <row r="25" spans="1:34" x14ac:dyDescent="0.25">
      <c r="A25" s="2" t="s">
        <v>44</v>
      </c>
      <c r="B25" s="3">
        <v>281390</v>
      </c>
      <c r="C25" s="4">
        <v>272543</v>
      </c>
      <c r="D25" s="5">
        <f t="shared" si="0"/>
        <v>553933</v>
      </c>
      <c r="E25" s="3">
        <v>2296</v>
      </c>
      <c r="F25" s="6">
        <v>241.26001742160278</v>
      </c>
      <c r="G25" s="7">
        <v>8.6</v>
      </c>
      <c r="H25" s="8">
        <v>4.2713247481830932</v>
      </c>
      <c r="I25" s="8">
        <v>6.4749883122954648</v>
      </c>
      <c r="J25" s="8">
        <v>13.481235921628629</v>
      </c>
      <c r="K25" s="8">
        <v>6.6938671426749972</v>
      </c>
      <c r="L25" s="8">
        <v>69.078583875217817</v>
      </c>
      <c r="M25" s="18">
        <v>47058</v>
      </c>
      <c r="N25" s="10">
        <v>1474</v>
      </c>
      <c r="O25" s="11">
        <v>177</v>
      </c>
      <c r="P25" s="12">
        <v>167</v>
      </c>
      <c r="Q25" s="13">
        <v>88</v>
      </c>
      <c r="R25" s="13">
        <v>17</v>
      </c>
      <c r="S25" s="13">
        <v>2</v>
      </c>
      <c r="T25" s="13">
        <v>3</v>
      </c>
      <c r="U25" s="12">
        <v>4</v>
      </c>
      <c r="V25" s="12">
        <v>9</v>
      </c>
      <c r="W25" s="13">
        <v>8</v>
      </c>
      <c r="X25" s="13">
        <v>19</v>
      </c>
      <c r="Y25" s="13">
        <v>8</v>
      </c>
      <c r="Z25" s="13">
        <v>1</v>
      </c>
      <c r="AA25" s="13">
        <v>2</v>
      </c>
      <c r="AB25" s="13">
        <v>0</v>
      </c>
      <c r="AC25" s="13">
        <v>47</v>
      </c>
      <c r="AD25" s="13">
        <v>1</v>
      </c>
      <c r="AE25" s="15">
        <f t="shared" si="1"/>
        <v>86</v>
      </c>
      <c r="AF25" s="17">
        <v>1652</v>
      </c>
      <c r="AG25" s="17">
        <v>0</v>
      </c>
      <c r="AH25" s="16">
        <f t="shared" si="2"/>
        <v>1652</v>
      </c>
    </row>
    <row r="26" spans="1:34" x14ac:dyDescent="0.25">
      <c r="A26" s="2" t="s">
        <v>9</v>
      </c>
      <c r="B26" s="3">
        <v>354651</v>
      </c>
      <c r="C26" s="4">
        <v>338681</v>
      </c>
      <c r="D26" s="5">
        <f t="shared" si="0"/>
        <v>693332</v>
      </c>
      <c r="E26" s="3">
        <v>4707</v>
      </c>
      <c r="F26" s="6">
        <v>147.29806670915659</v>
      </c>
      <c r="G26" s="7">
        <v>6.9</v>
      </c>
      <c r="H26" s="8">
        <v>1.0506633425340575</v>
      </c>
      <c r="I26" s="8">
        <v>16.577330602795833</v>
      </c>
      <c r="J26" s="8">
        <v>3.3514379841510107</v>
      </c>
      <c r="K26" s="8">
        <v>4.8366129463093221</v>
      </c>
      <c r="L26" s="8">
        <v>74.183955124209774</v>
      </c>
      <c r="M26" s="18">
        <v>56155</v>
      </c>
      <c r="N26" s="10">
        <v>530</v>
      </c>
      <c r="O26" s="11">
        <v>81</v>
      </c>
      <c r="P26" s="12">
        <v>45</v>
      </c>
      <c r="Q26" s="13">
        <v>4</v>
      </c>
      <c r="R26" s="13">
        <v>4</v>
      </c>
      <c r="S26" s="13">
        <v>0</v>
      </c>
      <c r="T26" s="13">
        <v>0</v>
      </c>
      <c r="U26" s="12">
        <v>1</v>
      </c>
      <c r="V26" s="12">
        <v>1</v>
      </c>
      <c r="W26" s="13">
        <v>3</v>
      </c>
      <c r="X26" s="13">
        <v>19</v>
      </c>
      <c r="Y26" s="13">
        <v>3</v>
      </c>
      <c r="Z26" s="13">
        <v>3</v>
      </c>
      <c r="AA26" s="13">
        <v>0</v>
      </c>
      <c r="AB26" s="13">
        <v>0</v>
      </c>
      <c r="AC26" s="13">
        <v>24</v>
      </c>
      <c r="AD26" s="13">
        <v>0</v>
      </c>
      <c r="AE26" s="15">
        <f t="shared" si="1"/>
        <v>52</v>
      </c>
      <c r="AF26" s="17">
        <v>513</v>
      </c>
      <c r="AG26" s="17">
        <v>127</v>
      </c>
      <c r="AH26" s="16">
        <f t="shared" si="2"/>
        <v>640</v>
      </c>
    </row>
    <row r="27" spans="1:34" x14ac:dyDescent="0.25">
      <c r="A27" s="2" t="s">
        <v>27</v>
      </c>
      <c r="B27" s="3">
        <v>886521</v>
      </c>
      <c r="C27" s="4">
        <v>854184</v>
      </c>
      <c r="D27" s="5">
        <f t="shared" si="0"/>
        <v>1740705</v>
      </c>
      <c r="E27" s="3">
        <v>1748</v>
      </c>
      <c r="F27" s="6">
        <v>995.82665903890154</v>
      </c>
      <c r="G27" s="7">
        <v>6.7</v>
      </c>
      <c r="H27" s="8">
        <v>23.836835118864055</v>
      </c>
      <c r="I27" s="8">
        <v>20.629248736273315</v>
      </c>
      <c r="J27" s="8">
        <v>18.830868451750447</v>
      </c>
      <c r="K27" s="8">
        <v>12.949008460599885</v>
      </c>
      <c r="L27" s="8">
        <v>23.754039232512302</v>
      </c>
      <c r="M27" s="18">
        <v>298324</v>
      </c>
      <c r="N27" s="10">
        <v>901</v>
      </c>
      <c r="O27" s="11">
        <v>127</v>
      </c>
      <c r="P27" s="12">
        <v>50</v>
      </c>
      <c r="Q27" s="13">
        <v>2</v>
      </c>
      <c r="R27" s="13">
        <v>2</v>
      </c>
      <c r="S27" s="13">
        <v>1</v>
      </c>
      <c r="T27" s="13">
        <v>0</v>
      </c>
      <c r="U27" s="12">
        <v>1</v>
      </c>
      <c r="V27" s="12">
        <v>2</v>
      </c>
      <c r="W27" s="13">
        <v>9</v>
      </c>
      <c r="X27" s="13">
        <v>168</v>
      </c>
      <c r="Y27" s="13">
        <v>1</v>
      </c>
      <c r="Z27" s="13">
        <v>5</v>
      </c>
      <c r="AA27" s="13">
        <v>87</v>
      </c>
      <c r="AB27" s="13">
        <v>0</v>
      </c>
      <c r="AC27" s="13">
        <v>18</v>
      </c>
      <c r="AD27" s="13">
        <v>0</v>
      </c>
      <c r="AE27" s="15">
        <f t="shared" si="1"/>
        <v>288</v>
      </c>
      <c r="AF27" s="17">
        <v>885</v>
      </c>
      <c r="AG27" s="17">
        <v>225</v>
      </c>
      <c r="AH27" s="16">
        <f t="shared" si="2"/>
        <v>1110</v>
      </c>
    </row>
    <row r="28" spans="1:34" x14ac:dyDescent="0.25">
      <c r="A28" s="2" t="s">
        <v>10</v>
      </c>
      <c r="B28" s="3">
        <v>204877</v>
      </c>
      <c r="C28" s="4">
        <v>182684</v>
      </c>
      <c r="D28" s="5">
        <f t="shared" si="0"/>
        <v>387561</v>
      </c>
      <c r="E28" s="3">
        <v>1538</v>
      </c>
      <c r="F28" s="6">
        <v>251.99024707412224</v>
      </c>
      <c r="G28" s="7">
        <v>7.4</v>
      </c>
      <c r="H28" s="8">
        <v>1.9289443352091666</v>
      </c>
      <c r="I28" s="8">
        <v>3.5934639636585533</v>
      </c>
      <c r="J28" s="8">
        <v>24.774560987185573</v>
      </c>
      <c r="K28" s="8">
        <v>2.8747711709268424</v>
      </c>
      <c r="L28" s="8">
        <v>66.828259543019868</v>
      </c>
      <c r="M28" s="18">
        <v>29498</v>
      </c>
      <c r="N28" s="10">
        <v>796</v>
      </c>
      <c r="O28" s="11">
        <v>102</v>
      </c>
      <c r="P28" s="12">
        <v>104</v>
      </c>
      <c r="Q28" s="13">
        <v>53</v>
      </c>
      <c r="R28" s="13">
        <v>13</v>
      </c>
      <c r="S28" s="13">
        <v>1</v>
      </c>
      <c r="T28" s="13">
        <v>0</v>
      </c>
      <c r="U28" s="12">
        <v>2</v>
      </c>
      <c r="V28" s="12">
        <v>4</v>
      </c>
      <c r="W28" s="13">
        <v>8</v>
      </c>
      <c r="X28" s="13">
        <v>11</v>
      </c>
      <c r="Y28" s="13">
        <v>6</v>
      </c>
      <c r="Z28" s="13">
        <v>1</v>
      </c>
      <c r="AA28" s="13">
        <v>2</v>
      </c>
      <c r="AB28" s="13">
        <v>0</v>
      </c>
      <c r="AC28" s="13">
        <v>30</v>
      </c>
      <c r="AD28" s="13">
        <v>0</v>
      </c>
      <c r="AE28" s="15">
        <f t="shared" si="1"/>
        <v>58</v>
      </c>
      <c r="AF28" s="17">
        <v>564</v>
      </c>
      <c r="AG28" s="17">
        <v>66</v>
      </c>
      <c r="AH28" s="16">
        <f t="shared" si="2"/>
        <v>630</v>
      </c>
    </row>
    <row r="29" spans="1:34" x14ac:dyDescent="0.25">
      <c r="A29" s="2" t="s">
        <v>28</v>
      </c>
      <c r="B29" s="3">
        <v>2425995</v>
      </c>
      <c r="C29" s="4">
        <v>2332767</v>
      </c>
      <c r="D29" s="5">
        <f t="shared" si="0"/>
        <v>4758762</v>
      </c>
      <c r="E29" s="3">
        <v>1518</v>
      </c>
      <c r="F29" s="6">
        <v>3134.889328063241</v>
      </c>
      <c r="G29" s="7">
        <v>6.8</v>
      </c>
      <c r="H29" s="8">
        <v>50.495064619442928</v>
      </c>
      <c r="I29" s="8">
        <v>11.459608650120751</v>
      </c>
      <c r="J29" s="8">
        <v>12.243651784705664</v>
      </c>
      <c r="K29" s="8">
        <v>1.6804413601072259</v>
      </c>
      <c r="L29" s="8">
        <v>24.121233585623433</v>
      </c>
      <c r="M29" s="18">
        <v>334467</v>
      </c>
      <c r="N29" s="10">
        <v>476</v>
      </c>
      <c r="O29" s="11">
        <v>86</v>
      </c>
      <c r="P29" s="13">
        <v>39</v>
      </c>
      <c r="Q29" s="13">
        <v>5</v>
      </c>
      <c r="R29" s="13">
        <v>6</v>
      </c>
      <c r="S29" s="13">
        <v>0</v>
      </c>
      <c r="T29" s="13">
        <v>0</v>
      </c>
      <c r="U29" s="13">
        <v>0</v>
      </c>
      <c r="V29" s="12">
        <v>1</v>
      </c>
      <c r="W29" s="13">
        <v>5</v>
      </c>
      <c r="X29" s="13">
        <v>30</v>
      </c>
      <c r="Y29" s="13">
        <v>1</v>
      </c>
      <c r="Z29" s="13">
        <v>6</v>
      </c>
      <c r="AA29" s="13">
        <v>0</v>
      </c>
      <c r="AB29" s="13">
        <v>0</v>
      </c>
      <c r="AC29" s="13">
        <v>24</v>
      </c>
      <c r="AD29" s="13">
        <v>0</v>
      </c>
      <c r="AE29" s="15">
        <f t="shared" si="1"/>
        <v>66</v>
      </c>
      <c r="AF29" s="17">
        <v>566</v>
      </c>
      <c r="AG29" s="17">
        <v>95</v>
      </c>
      <c r="AH29" s="16">
        <f t="shared" si="2"/>
        <v>661</v>
      </c>
    </row>
    <row r="30" spans="1:34" x14ac:dyDescent="0.25">
      <c r="A30" s="2" t="s">
        <v>30</v>
      </c>
      <c r="B30" s="3">
        <v>459971</v>
      </c>
      <c r="C30" s="4">
        <v>431281</v>
      </c>
      <c r="D30" s="5">
        <f t="shared" si="0"/>
        <v>891252</v>
      </c>
      <c r="E30" s="3">
        <v>1586</v>
      </c>
      <c r="F30" s="6">
        <v>561.9495586380832</v>
      </c>
      <c r="G30" s="7">
        <v>7</v>
      </c>
      <c r="H30" s="8">
        <v>13.591637456184277</v>
      </c>
      <c r="I30" s="8">
        <v>24.541812719078617</v>
      </c>
      <c r="J30" s="8">
        <v>24.450425638457688</v>
      </c>
      <c r="K30" s="8">
        <v>7.8530295443164748</v>
      </c>
      <c r="L30" s="8">
        <v>29.563094641962945</v>
      </c>
      <c r="M30" s="18">
        <v>79880</v>
      </c>
      <c r="N30" s="10">
        <v>1209</v>
      </c>
      <c r="O30" s="11">
        <v>187</v>
      </c>
      <c r="P30" s="13">
        <v>158</v>
      </c>
      <c r="Q30" s="13">
        <v>56</v>
      </c>
      <c r="R30" s="13">
        <v>34</v>
      </c>
      <c r="S30" s="13">
        <v>0</v>
      </c>
      <c r="T30" s="13">
        <v>7</v>
      </c>
      <c r="U30" s="13">
        <v>4</v>
      </c>
      <c r="V30" s="12">
        <v>12</v>
      </c>
      <c r="W30" s="13">
        <v>20</v>
      </c>
      <c r="X30" s="13">
        <v>44</v>
      </c>
      <c r="Y30" s="13">
        <v>4</v>
      </c>
      <c r="Z30" s="13">
        <v>1</v>
      </c>
      <c r="AA30" s="13">
        <v>5</v>
      </c>
      <c r="AB30" s="13">
        <v>0</v>
      </c>
      <c r="AC30" s="13">
        <v>55</v>
      </c>
      <c r="AD30" s="13">
        <v>0</v>
      </c>
      <c r="AE30" s="15">
        <f t="shared" si="1"/>
        <v>129</v>
      </c>
      <c r="AF30" s="17">
        <v>791</v>
      </c>
      <c r="AG30" s="17">
        <v>110</v>
      </c>
      <c r="AH30" s="16">
        <f t="shared" si="2"/>
        <v>901</v>
      </c>
    </row>
    <row r="31" spans="1:34" x14ac:dyDescent="0.25">
      <c r="A31" s="2" t="s">
        <v>11</v>
      </c>
      <c r="B31" s="3">
        <v>459545</v>
      </c>
      <c r="C31" s="4">
        <v>429130</v>
      </c>
      <c r="D31" s="5">
        <f t="shared" si="0"/>
        <v>888675</v>
      </c>
      <c r="E31" s="3">
        <v>6620</v>
      </c>
      <c r="F31" s="6">
        <v>134.24093655589124</v>
      </c>
      <c r="G31" s="7">
        <v>4.9000000000000004</v>
      </c>
      <c r="H31" s="8">
        <v>0.29562191787989378</v>
      </c>
      <c r="I31" s="8">
        <v>1.8548313254588027</v>
      </c>
      <c r="J31" s="8">
        <v>2.9941529647215792</v>
      </c>
      <c r="K31" s="8">
        <v>6.3388664338317051</v>
      </c>
      <c r="L31" s="8">
        <v>88.516527358108021</v>
      </c>
      <c r="M31" s="18">
        <v>76449</v>
      </c>
      <c r="N31" s="10">
        <v>605</v>
      </c>
      <c r="O31" s="11">
        <v>76</v>
      </c>
      <c r="P31" s="13">
        <v>52</v>
      </c>
      <c r="Q31" s="13">
        <v>14</v>
      </c>
      <c r="R31" s="13">
        <v>5</v>
      </c>
      <c r="S31" s="13">
        <v>0</v>
      </c>
      <c r="T31" s="13">
        <v>0</v>
      </c>
      <c r="U31" s="13">
        <v>1</v>
      </c>
      <c r="V31" s="12">
        <v>1</v>
      </c>
      <c r="W31" s="13">
        <v>4</v>
      </c>
      <c r="X31" s="13">
        <v>12</v>
      </c>
      <c r="Y31" s="13">
        <v>2</v>
      </c>
      <c r="Z31" s="13">
        <v>1</v>
      </c>
      <c r="AA31" s="13">
        <v>1</v>
      </c>
      <c r="AB31" s="13">
        <v>0</v>
      </c>
      <c r="AC31" s="13">
        <v>19</v>
      </c>
      <c r="AD31" s="13">
        <v>0</v>
      </c>
      <c r="AE31" s="15">
        <f t="shared" si="1"/>
        <v>39</v>
      </c>
      <c r="AF31" s="17">
        <v>313</v>
      </c>
      <c r="AG31" s="17">
        <v>202</v>
      </c>
      <c r="AH31" s="16">
        <f t="shared" si="2"/>
        <v>515</v>
      </c>
    </row>
    <row r="32" spans="1:34" x14ac:dyDescent="0.25">
      <c r="A32" s="2" t="s">
        <v>29</v>
      </c>
      <c r="B32" s="3">
        <v>959080</v>
      </c>
      <c r="C32" s="4">
        <v>935520</v>
      </c>
      <c r="D32" s="5">
        <f t="shared" si="0"/>
        <v>1894600</v>
      </c>
      <c r="E32" s="3">
        <v>1543</v>
      </c>
      <c r="F32" s="6">
        <v>1227.8677900194425</v>
      </c>
      <c r="G32" s="7">
        <v>6.7</v>
      </c>
      <c r="H32" s="8">
        <v>52.951979167851171</v>
      </c>
      <c r="I32" s="8">
        <v>27.558817843781625</v>
      </c>
      <c r="J32" s="8">
        <v>10.004434791507943</v>
      </c>
      <c r="K32" s="8">
        <v>0.79598821937435327</v>
      </c>
      <c r="L32" s="8">
        <v>8.6887799774849039</v>
      </c>
      <c r="M32" s="18">
        <v>175882</v>
      </c>
      <c r="N32" s="10">
        <v>674</v>
      </c>
      <c r="O32" s="11">
        <v>108</v>
      </c>
      <c r="P32" s="13">
        <v>44</v>
      </c>
      <c r="Q32" s="13">
        <v>2</v>
      </c>
      <c r="R32" s="13">
        <v>5</v>
      </c>
      <c r="S32" s="13">
        <v>0</v>
      </c>
      <c r="T32" s="13">
        <v>0</v>
      </c>
      <c r="U32" s="13">
        <v>1</v>
      </c>
      <c r="V32" s="12">
        <v>2</v>
      </c>
      <c r="W32" s="13">
        <v>7</v>
      </c>
      <c r="X32" s="13">
        <v>53</v>
      </c>
      <c r="Y32" s="13">
        <v>0</v>
      </c>
      <c r="Z32" s="13">
        <v>4</v>
      </c>
      <c r="AA32" s="13">
        <v>0</v>
      </c>
      <c r="AB32" s="13">
        <v>0</v>
      </c>
      <c r="AC32" s="13">
        <v>14</v>
      </c>
      <c r="AD32" s="13">
        <v>0</v>
      </c>
      <c r="AE32" s="15">
        <f t="shared" si="1"/>
        <v>78</v>
      </c>
      <c r="AF32" s="17">
        <v>1187</v>
      </c>
      <c r="AG32" s="17">
        <v>514</v>
      </c>
      <c r="AH32" s="16">
        <f t="shared" si="2"/>
        <v>1701</v>
      </c>
    </row>
    <row r="33" spans="1:34" x14ac:dyDescent="0.25">
      <c r="A33" s="2" t="s">
        <v>31</v>
      </c>
      <c r="B33" s="3">
        <v>1375445</v>
      </c>
      <c r="C33" s="4">
        <v>1311939</v>
      </c>
      <c r="D33" s="5">
        <f t="shared" si="0"/>
        <v>2687384</v>
      </c>
      <c r="E33" s="3">
        <v>5337</v>
      </c>
      <c r="F33" s="6">
        <v>503.53831740678282</v>
      </c>
      <c r="G33" s="7">
        <v>7</v>
      </c>
      <c r="H33" s="8">
        <v>45.177208507439985</v>
      </c>
      <c r="I33" s="8">
        <v>13.07253872102075</v>
      </c>
      <c r="J33" s="8">
        <v>17.673875502187705</v>
      </c>
      <c r="K33" s="8">
        <v>4.8836356152861908</v>
      </c>
      <c r="L33" s="8">
        <v>19.192741654065372</v>
      </c>
      <c r="M33" s="18">
        <v>223522</v>
      </c>
      <c r="N33" s="10">
        <v>1027</v>
      </c>
      <c r="O33" s="11">
        <v>131</v>
      </c>
      <c r="P33" s="12">
        <v>124</v>
      </c>
      <c r="Q33" s="13">
        <v>54</v>
      </c>
      <c r="R33" s="13">
        <v>17</v>
      </c>
      <c r="S33" s="13">
        <v>1</v>
      </c>
      <c r="T33" s="13">
        <v>2</v>
      </c>
      <c r="U33" s="12">
        <v>2</v>
      </c>
      <c r="V33" s="12">
        <v>5</v>
      </c>
      <c r="W33" s="13">
        <v>6</v>
      </c>
      <c r="X33" s="13">
        <v>11</v>
      </c>
      <c r="Y33" s="13">
        <v>9</v>
      </c>
      <c r="Z33" s="13">
        <v>2</v>
      </c>
      <c r="AA33" s="13">
        <v>3</v>
      </c>
      <c r="AB33" s="13">
        <v>0</v>
      </c>
      <c r="AC33" s="13">
        <v>35</v>
      </c>
      <c r="AD33" s="13">
        <v>0</v>
      </c>
      <c r="AE33" s="15">
        <f t="shared" si="1"/>
        <v>66</v>
      </c>
      <c r="AF33" s="17">
        <v>630</v>
      </c>
      <c r="AG33" s="17">
        <v>33</v>
      </c>
      <c r="AH33" s="16">
        <f t="shared" si="2"/>
        <v>663</v>
      </c>
    </row>
    <row r="34" spans="1:34" x14ac:dyDescent="0.25">
      <c r="A34" s="2" t="s">
        <v>32</v>
      </c>
      <c r="B34" s="3">
        <v>241590</v>
      </c>
      <c r="C34" s="4">
        <v>228703</v>
      </c>
      <c r="D34" s="5">
        <f t="shared" si="0"/>
        <v>470293</v>
      </c>
      <c r="E34" s="3">
        <v>2900</v>
      </c>
      <c r="F34" s="6">
        <v>162.16999999999999</v>
      </c>
      <c r="G34" s="7">
        <v>6.6</v>
      </c>
      <c r="H34" s="8">
        <v>0.88406779661016954</v>
      </c>
      <c r="I34" s="8">
        <v>15.471186440677966</v>
      </c>
      <c r="J34" s="8">
        <v>3.1755932203389832</v>
      </c>
      <c r="K34" s="8">
        <v>5.2718644067796614</v>
      </c>
      <c r="L34" s="8">
        <v>75.197288135593226</v>
      </c>
      <c r="M34" s="18">
        <v>40863</v>
      </c>
      <c r="N34" s="10">
        <v>1363</v>
      </c>
      <c r="O34" s="11">
        <v>148</v>
      </c>
      <c r="P34" s="12">
        <v>119</v>
      </c>
      <c r="Q34" s="13">
        <v>58</v>
      </c>
      <c r="R34" s="13">
        <v>15</v>
      </c>
      <c r="S34" s="13">
        <v>3</v>
      </c>
      <c r="T34" s="13">
        <v>1</v>
      </c>
      <c r="U34" s="12">
        <v>2</v>
      </c>
      <c r="V34" s="12">
        <v>7</v>
      </c>
      <c r="W34" s="13">
        <v>10</v>
      </c>
      <c r="X34" s="13">
        <v>20</v>
      </c>
      <c r="Y34" s="13">
        <v>5</v>
      </c>
      <c r="Z34" s="13">
        <v>1</v>
      </c>
      <c r="AA34" s="13">
        <v>3</v>
      </c>
      <c r="AB34" s="13">
        <v>0</v>
      </c>
      <c r="AC34" s="13">
        <v>39</v>
      </c>
      <c r="AD34" s="13">
        <v>3</v>
      </c>
      <c r="AE34" s="15">
        <f t="shared" si="1"/>
        <v>81</v>
      </c>
      <c r="AF34" s="17">
        <v>1660</v>
      </c>
      <c r="AG34" s="17">
        <v>125</v>
      </c>
      <c r="AH34" s="16">
        <f t="shared" si="2"/>
        <v>1785</v>
      </c>
    </row>
    <row r="35" spans="1:34" x14ac:dyDescent="0.25">
      <c r="A35" s="2" t="s">
        <v>33</v>
      </c>
      <c r="B35" s="3">
        <v>102164</v>
      </c>
      <c r="C35" s="4">
        <v>98281</v>
      </c>
      <c r="D35" s="5">
        <f t="shared" si="0"/>
        <v>200445</v>
      </c>
      <c r="E35" s="3">
        <v>454</v>
      </c>
      <c r="F35" s="6">
        <v>441.5088105726872</v>
      </c>
      <c r="G35" s="7">
        <v>6.8</v>
      </c>
      <c r="H35" s="8">
        <v>4.1405560971081092</v>
      </c>
      <c r="I35" s="8">
        <v>4.0384347583901965</v>
      </c>
      <c r="J35" s="8">
        <v>64.062572529359883</v>
      </c>
      <c r="K35" s="8">
        <v>4.706865339089263</v>
      </c>
      <c r="L35" s="8">
        <v>23.051571276052545</v>
      </c>
      <c r="M35" s="18">
        <v>21543</v>
      </c>
      <c r="N35" s="10">
        <v>577</v>
      </c>
      <c r="O35" s="11">
        <v>97</v>
      </c>
      <c r="P35" s="13">
        <v>51</v>
      </c>
      <c r="Q35" s="13">
        <v>5</v>
      </c>
      <c r="R35" s="13">
        <v>3</v>
      </c>
      <c r="S35" s="13">
        <v>2</v>
      </c>
      <c r="T35" s="13">
        <v>0</v>
      </c>
      <c r="U35" s="13">
        <v>0</v>
      </c>
      <c r="V35" s="12">
        <v>1</v>
      </c>
      <c r="W35" s="13">
        <v>3</v>
      </c>
      <c r="X35" s="13">
        <v>48</v>
      </c>
      <c r="Y35" s="13">
        <v>3</v>
      </c>
      <c r="Z35" s="13">
        <v>3</v>
      </c>
      <c r="AA35" s="13">
        <v>1</v>
      </c>
      <c r="AB35" s="13">
        <v>2</v>
      </c>
      <c r="AC35" s="13">
        <v>23</v>
      </c>
      <c r="AD35" s="13">
        <v>0</v>
      </c>
      <c r="AE35" s="15">
        <f t="shared" si="1"/>
        <v>83</v>
      </c>
      <c r="AF35" s="17">
        <v>558</v>
      </c>
      <c r="AG35" s="17">
        <v>57.5</v>
      </c>
      <c r="AH35" s="16">
        <f t="shared" si="2"/>
        <v>615.5</v>
      </c>
    </row>
    <row r="36" spans="1:34" x14ac:dyDescent="0.25">
      <c r="A36" s="2" t="s">
        <v>34</v>
      </c>
      <c r="B36" s="3">
        <v>537302</v>
      </c>
      <c r="C36" s="4">
        <v>546264</v>
      </c>
      <c r="D36" s="5">
        <f t="shared" si="0"/>
        <v>1083566</v>
      </c>
      <c r="E36" s="3">
        <v>3699</v>
      </c>
      <c r="F36" s="6">
        <v>292.93484725601513</v>
      </c>
      <c r="G36" s="7">
        <v>7.2</v>
      </c>
      <c r="H36" s="8">
        <v>12.656337502333395</v>
      </c>
      <c r="I36" s="8">
        <v>10.266051539152155</v>
      </c>
      <c r="J36" s="8">
        <v>50.808466003537873</v>
      </c>
      <c r="K36" s="8">
        <v>5.7992657581979961</v>
      </c>
      <c r="L36" s="8">
        <v>20.469879196778582</v>
      </c>
      <c r="M36" s="18">
        <v>112497</v>
      </c>
      <c r="N36" s="10">
        <v>207</v>
      </c>
      <c r="O36" s="11">
        <v>27</v>
      </c>
      <c r="P36" s="13">
        <v>10</v>
      </c>
      <c r="Q36" s="13">
        <v>3</v>
      </c>
      <c r="R36" s="13">
        <v>0</v>
      </c>
      <c r="S36" s="13">
        <v>0</v>
      </c>
      <c r="T36" s="13">
        <v>0</v>
      </c>
      <c r="U36" s="13">
        <v>0</v>
      </c>
      <c r="V36" s="12">
        <v>0</v>
      </c>
      <c r="W36" s="13">
        <v>0</v>
      </c>
      <c r="X36" s="13">
        <v>3</v>
      </c>
      <c r="Y36" s="13">
        <v>0</v>
      </c>
      <c r="Z36" s="13">
        <v>0</v>
      </c>
      <c r="AA36" s="13">
        <v>0</v>
      </c>
      <c r="AB36" s="17">
        <v>0</v>
      </c>
      <c r="AC36" s="17">
        <v>10</v>
      </c>
      <c r="AD36" s="17">
        <v>0</v>
      </c>
      <c r="AE36" s="15">
        <f t="shared" si="1"/>
        <v>13</v>
      </c>
      <c r="AF36" s="17">
        <v>210.75</v>
      </c>
      <c r="AG36" s="17">
        <v>221.5</v>
      </c>
      <c r="AH36" s="16">
        <f t="shared" si="2"/>
        <v>432.25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Imran Khan</dc:creator>
  <cp:lastModifiedBy>Salman Akbar</cp:lastModifiedBy>
  <dcterms:created xsi:type="dcterms:W3CDTF">2015-06-05T18:17:20Z</dcterms:created>
  <dcterms:modified xsi:type="dcterms:W3CDTF">2026-03-26T04:12:05Z</dcterms:modified>
</cp:coreProperties>
</file>