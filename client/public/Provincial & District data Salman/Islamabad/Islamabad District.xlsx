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Dr Imran\Portal\Infra Portal\Data\Census Data\Provincial &amp; District data\Islamabad\"/>
    </mc:Choice>
  </mc:AlternateContent>
  <xr:revisionPtr revIDLastSave="0" documentId="13_ncr:1_{4DD46508-FFC1-48D7-A4F3-1A95CBA8E5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C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2" l="1"/>
  <c r="C27" i="2" l="1"/>
  <c r="C26" i="2"/>
  <c r="C25" i="2"/>
  <c r="C24" i="2"/>
  <c r="C23" i="2"/>
  <c r="C22" i="2"/>
  <c r="C21" i="2"/>
  <c r="C20" i="2"/>
  <c r="C19" i="2"/>
  <c r="C18" i="2"/>
  <c r="C17" i="2"/>
</calcChain>
</file>

<file path=xl/sharedStrings.xml><?xml version="1.0" encoding="utf-8"?>
<sst xmlns="http://schemas.openxmlformats.org/spreadsheetml/2006/main" count="93" uniqueCount="59">
  <si>
    <t>Description</t>
  </si>
  <si>
    <t>%</t>
  </si>
  <si>
    <t>Semi Pakka</t>
  </si>
  <si>
    <t>Kacha</t>
  </si>
  <si>
    <t>Residential</t>
  </si>
  <si>
    <t>Economic</t>
  </si>
  <si>
    <t>Residential &amp; Economic</t>
  </si>
  <si>
    <t>Normal Residential:</t>
  </si>
  <si>
    <t>1-3 Story Residential Buildings</t>
  </si>
  <si>
    <t>Normal Economic:</t>
  </si>
  <si>
    <t>1-3 Story Economic Activity Buildings</t>
  </si>
  <si>
    <t>Normal Economic + Residential:</t>
  </si>
  <si>
    <t>1-3 Story Multi-Purpose Buildings</t>
  </si>
  <si>
    <t>Multistory Residential:</t>
  </si>
  <si>
    <t>Flats and &gt;3 Floor Residential Buildings</t>
  </si>
  <si>
    <t>Multistory Economic:</t>
  </si>
  <si>
    <t>Four and &gt; Four Story Economic Activity Buildings</t>
  </si>
  <si>
    <t>Multistory Economic + Residential:</t>
  </si>
  <si>
    <t>More than 3 Floors Multi-Purpose Buildings</t>
  </si>
  <si>
    <t>Meaning</t>
  </si>
  <si>
    <t>Jughi/Jhompri/Tent</t>
  </si>
  <si>
    <t>Under Construction</t>
  </si>
  <si>
    <t>Types of Structures by Rural/Urban</t>
  </si>
  <si>
    <t>Types of Structures</t>
  </si>
  <si>
    <t>Urban</t>
  </si>
  <si>
    <t>Rural</t>
  </si>
  <si>
    <t>Total</t>
  </si>
  <si>
    <t>All Structures</t>
  </si>
  <si>
    <t>High Rise / Multi-Story Structure</t>
  </si>
  <si>
    <t>Normal Structures</t>
  </si>
  <si>
    <t>Others</t>
  </si>
  <si>
    <t>Districts</t>
  </si>
  <si>
    <t>Brick Masonry</t>
  </si>
  <si>
    <t>Block Masonry</t>
  </si>
  <si>
    <t>Stone Masonry</t>
  </si>
  <si>
    <t>Timber</t>
  </si>
  <si>
    <t>Adobe</t>
  </si>
  <si>
    <t>Islamabad</t>
  </si>
  <si>
    <t>Pakka House</t>
  </si>
  <si>
    <t>Contruction material used for walls</t>
  </si>
  <si>
    <t>Backed Bricks/Blocks /Stones</t>
  </si>
  <si>
    <t>Type</t>
  </si>
  <si>
    <t>Unbaked Bricks/Mud</t>
  </si>
  <si>
    <t>Wood/Bamboo</t>
  </si>
  <si>
    <t>Playwood/Cardboard</t>
  </si>
  <si>
    <t>Pre-Fab</t>
  </si>
  <si>
    <t>Contruction material used for roofs</t>
  </si>
  <si>
    <t>RRC/RBC</t>
  </si>
  <si>
    <t>Cement/Iron Sheet</t>
  </si>
  <si>
    <t>Garder/T-Iron</t>
  </si>
  <si>
    <t>Pre Fab</t>
  </si>
  <si>
    <t>Total Str</t>
  </si>
  <si>
    <t>Population</t>
  </si>
  <si>
    <t>Male</t>
  </si>
  <si>
    <t>Female</t>
  </si>
  <si>
    <t>Area</t>
  </si>
  <si>
    <t>DENSITY /SQ.K.M</t>
  </si>
  <si>
    <t>AVR H.H SIZE</t>
  </si>
  <si>
    <t>Transgender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</si>
</sst>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0" borderId="0">
      <alignment vertical="top"/>
    </xf>
  </cellStyleXfs>
  <cellXfs count="27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2" borderId="0" xfId="1" applyFont="1" applyAlignment="1">
      <alignment horizontal="center"/>
    </xf>
    <xf numFmtId="0" fontId="0" fillId="0" borderId="0" xfId="0" applyAlignment="1">
      <alignment horizontal="left"/>
    </xf>
    <xf numFmtId="0" fontId="1" fillId="2" borderId="0" xfId="1" applyFont="1" applyAlignment="1">
      <alignment horizontal="left"/>
    </xf>
    <xf numFmtId="0" fontId="1" fillId="2" borderId="0" xfId="1" applyFont="1" applyAlignment="1">
      <alignment horizontal="center" vertical="center"/>
    </xf>
    <xf numFmtId="0" fontId="0" fillId="0" borderId="0" xfId="0" applyFont="1" applyAlignment="1">
      <alignment horizontal="left" wrapText="1"/>
    </xf>
    <xf numFmtId="0" fontId="0" fillId="0" borderId="0" xfId="0" applyAlignment="1">
      <alignment vertical="center"/>
    </xf>
    <xf numFmtId="0" fontId="0" fillId="0" borderId="0" xfId="0" applyFont="1" applyAlignment="1">
      <alignment horizontal="left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3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4" fontId="4" fillId="0" borderId="0" xfId="0" applyNumberFormat="1" applyFont="1" applyAlignment="1">
      <alignment vertical="center"/>
    </xf>
    <xf numFmtId="0" fontId="4" fillId="0" borderId="0" xfId="0" applyFont="1" applyAlignment="1">
      <alignment horizontal="right" vertical="center"/>
    </xf>
    <xf numFmtId="0" fontId="1" fillId="2" borderId="0" xfId="1" applyFont="1" applyAlignment="1">
      <alignment horizontal="center"/>
    </xf>
    <xf numFmtId="1" fontId="0" fillId="0" borderId="0" xfId="0" applyNumberFormat="1"/>
    <xf numFmtId="2" fontId="0" fillId="0" borderId="0" xfId="0" applyNumberFormat="1" applyAlignment="1">
      <alignment horizontal="center"/>
    </xf>
    <xf numFmtId="0" fontId="1" fillId="2" borderId="0" xfId="1" applyFont="1" applyAlignment="1">
      <alignment horizontal="center" vertical="center" wrapText="1"/>
    </xf>
    <xf numFmtId="0" fontId="1" fillId="2" borderId="0" xfId="1" applyFont="1" applyAlignment="1">
      <alignment horizontal="center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center"/>
    </xf>
    <xf numFmtId="0" fontId="1" fillId="2" borderId="0" xfId="1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3">
    <cellStyle name="40% - Accent1" xfId="1" builtinId="31"/>
    <cellStyle name="Normal" xfId="0" builtinId="0"/>
    <cellStyle name="Normal 2" xfId="2" xr:uid="{70866CB7-AFE8-4258-B366-0A8B05BC73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CE1C8-C1BF-461D-B8A7-F1D941099FC3}">
  <dimension ref="B2:J64"/>
  <sheetViews>
    <sheetView tabSelected="1" workbookViewId="0">
      <selection activeCell="G4" sqref="G4"/>
    </sheetView>
  </sheetViews>
  <sheetFormatPr defaultRowHeight="15" x14ac:dyDescent="0.25"/>
  <cols>
    <col min="2" max="2" width="32.140625" customWidth="1"/>
    <col min="3" max="3" width="45.28515625" customWidth="1"/>
    <col min="4" max="4" width="14" bestFit="1" customWidth="1"/>
    <col min="5" max="5" width="14.42578125" bestFit="1" customWidth="1"/>
    <col min="6" max="6" width="15.42578125" customWidth="1"/>
    <col min="7" max="7" width="20" style="5" customWidth="1"/>
    <col min="8" max="8" width="13.5703125" bestFit="1" customWidth="1"/>
    <col min="9" max="9" width="14" bestFit="1" customWidth="1"/>
    <col min="10" max="10" width="14.42578125" bestFit="1" customWidth="1"/>
    <col min="11" max="11" width="11" bestFit="1" customWidth="1"/>
    <col min="12" max="12" width="12" bestFit="1" customWidth="1"/>
  </cols>
  <sheetData>
    <row r="2" spans="2:10" ht="30" x14ac:dyDescent="0.25">
      <c r="B2" s="21" t="s">
        <v>37</v>
      </c>
      <c r="C2" s="21" t="s">
        <v>52</v>
      </c>
      <c r="D2" s="21" t="s">
        <v>53</v>
      </c>
      <c r="E2" s="21" t="s">
        <v>54</v>
      </c>
      <c r="F2" s="21" t="s">
        <v>58</v>
      </c>
      <c r="G2" s="21" t="s">
        <v>26</v>
      </c>
      <c r="H2" s="21" t="s">
        <v>55</v>
      </c>
      <c r="I2" s="21" t="s">
        <v>56</v>
      </c>
      <c r="J2" s="21" t="s">
        <v>57</v>
      </c>
    </row>
    <row r="3" spans="2:10" x14ac:dyDescent="0.25">
      <c r="B3" s="10" t="s">
        <v>37</v>
      </c>
      <c r="C3" s="10" t="s">
        <v>52</v>
      </c>
      <c r="D3">
        <v>1247693</v>
      </c>
      <c r="E3" s="13">
        <v>1115900</v>
      </c>
      <c r="F3">
        <v>270</v>
      </c>
      <c r="G3" s="1">
        <f>SUM(D3:F3)</f>
        <v>2363863</v>
      </c>
      <c r="H3" s="15">
        <v>906</v>
      </c>
      <c r="I3" s="16">
        <v>2609.12</v>
      </c>
      <c r="J3" s="17">
        <v>5.7</v>
      </c>
    </row>
    <row r="5" spans="2:10" x14ac:dyDescent="0.25">
      <c r="B5" s="7" t="s">
        <v>0</v>
      </c>
      <c r="C5" s="7" t="s">
        <v>19</v>
      </c>
      <c r="D5" s="7" t="s">
        <v>1</v>
      </c>
    </row>
    <row r="6" spans="2:10" x14ac:dyDescent="0.25">
      <c r="B6" t="s">
        <v>7</v>
      </c>
      <c r="C6" t="s">
        <v>8</v>
      </c>
      <c r="D6">
        <v>80.959999999999994</v>
      </c>
    </row>
    <row r="7" spans="2:10" x14ac:dyDescent="0.25">
      <c r="B7" t="s">
        <v>9</v>
      </c>
      <c r="C7" t="s">
        <v>10</v>
      </c>
      <c r="D7">
        <v>7.54</v>
      </c>
    </row>
    <row r="8" spans="2:10" x14ac:dyDescent="0.25">
      <c r="B8" t="s">
        <v>11</v>
      </c>
      <c r="C8" t="s">
        <v>12</v>
      </c>
      <c r="D8">
        <v>3.27</v>
      </c>
    </row>
    <row r="9" spans="2:10" x14ac:dyDescent="0.25">
      <c r="B9" t="s">
        <v>13</v>
      </c>
      <c r="C9" t="s">
        <v>14</v>
      </c>
      <c r="D9">
        <v>0.51</v>
      </c>
    </row>
    <row r="10" spans="2:10" x14ac:dyDescent="0.25">
      <c r="B10" t="s">
        <v>15</v>
      </c>
      <c r="C10" t="s">
        <v>16</v>
      </c>
      <c r="D10">
        <v>0.19</v>
      </c>
    </row>
    <row r="11" spans="2:10" x14ac:dyDescent="0.25">
      <c r="B11" t="s">
        <v>17</v>
      </c>
      <c r="C11" t="s">
        <v>18</v>
      </c>
      <c r="D11">
        <v>0.32</v>
      </c>
    </row>
    <row r="12" spans="2:10" x14ac:dyDescent="0.25">
      <c r="B12" t="s">
        <v>20</v>
      </c>
      <c r="D12">
        <v>0.65</v>
      </c>
    </row>
    <row r="13" spans="2:10" x14ac:dyDescent="0.25">
      <c r="B13" t="s">
        <v>21</v>
      </c>
      <c r="D13">
        <v>6.56</v>
      </c>
    </row>
    <row r="15" spans="2:10" x14ac:dyDescent="0.25">
      <c r="B15" s="26" t="s">
        <v>22</v>
      </c>
      <c r="C15" s="26"/>
    </row>
    <row r="16" spans="2:10" x14ac:dyDescent="0.25">
      <c r="B16" s="25" t="s">
        <v>23</v>
      </c>
      <c r="C16" s="25" t="s">
        <v>26</v>
      </c>
      <c r="D16" s="25" t="s">
        <v>25</v>
      </c>
      <c r="E16" s="25" t="s">
        <v>24</v>
      </c>
    </row>
    <row r="17" spans="2:5" x14ac:dyDescent="0.25">
      <c r="B17" t="s">
        <v>27</v>
      </c>
      <c r="C17" s="2">
        <f>SUM(D17:E17)</f>
        <v>416897</v>
      </c>
      <c r="D17" s="2">
        <v>245119</v>
      </c>
      <c r="E17" s="2">
        <v>171778</v>
      </c>
    </row>
    <row r="18" spans="2:5" x14ac:dyDescent="0.25">
      <c r="B18" s="25" t="s">
        <v>28</v>
      </c>
      <c r="C18" s="25">
        <f t="shared" ref="C18" si="0">SUM(D18:E18)</f>
        <v>16546</v>
      </c>
      <c r="D18" s="25">
        <v>9263</v>
      </c>
      <c r="E18" s="25">
        <v>7283</v>
      </c>
    </row>
    <row r="19" spans="2:5" x14ac:dyDescent="0.25">
      <c r="B19" t="s">
        <v>4</v>
      </c>
      <c r="C19" s="2">
        <f>SUM(D19:E19)</f>
        <v>2137</v>
      </c>
      <c r="D19">
        <v>304</v>
      </c>
      <c r="E19" s="24">
        <v>1833</v>
      </c>
    </row>
    <row r="20" spans="2:5" x14ac:dyDescent="0.25">
      <c r="B20" t="s">
        <v>5</v>
      </c>
      <c r="C20" s="2">
        <f t="shared" ref="C20:C25" si="1">SUM(D20:E20)</f>
        <v>795</v>
      </c>
      <c r="D20">
        <v>452</v>
      </c>
      <c r="E20">
        <v>343</v>
      </c>
    </row>
    <row r="21" spans="2:5" x14ac:dyDescent="0.25">
      <c r="B21" t="s">
        <v>6</v>
      </c>
      <c r="C21" s="2">
        <f t="shared" si="1"/>
        <v>13614</v>
      </c>
      <c r="D21">
        <v>8507</v>
      </c>
      <c r="E21">
        <v>5107</v>
      </c>
    </row>
    <row r="22" spans="2:5" x14ac:dyDescent="0.25">
      <c r="B22" s="25" t="s">
        <v>29</v>
      </c>
      <c r="C22" s="25">
        <f t="shared" si="1"/>
        <v>382578</v>
      </c>
      <c r="D22" s="25">
        <v>224069</v>
      </c>
      <c r="E22" s="25">
        <v>158509</v>
      </c>
    </row>
    <row r="23" spans="2:5" x14ac:dyDescent="0.25">
      <c r="B23" t="s">
        <v>4</v>
      </c>
      <c r="C23" s="2">
        <f t="shared" si="1"/>
        <v>337525</v>
      </c>
      <c r="D23" s="1">
        <v>198008</v>
      </c>
      <c r="E23" s="1">
        <v>139517</v>
      </c>
    </row>
    <row r="24" spans="2:5" x14ac:dyDescent="0.25">
      <c r="B24" t="s">
        <v>5</v>
      </c>
      <c r="C24" s="2">
        <f t="shared" si="1"/>
        <v>31439</v>
      </c>
      <c r="D24" s="1">
        <v>17554</v>
      </c>
      <c r="E24" s="1">
        <v>13885</v>
      </c>
    </row>
    <row r="25" spans="2:5" x14ac:dyDescent="0.25">
      <c r="B25" t="s">
        <v>6</v>
      </c>
      <c r="C25" s="2">
        <f t="shared" si="1"/>
        <v>13614</v>
      </c>
      <c r="D25" s="1">
        <v>8507</v>
      </c>
      <c r="E25" s="1">
        <v>5107</v>
      </c>
    </row>
    <row r="26" spans="2:5" x14ac:dyDescent="0.25">
      <c r="B26" t="s">
        <v>20</v>
      </c>
      <c r="C26" s="2">
        <f t="shared" ref="C26:C27" si="2">SUM(D26:E26)</f>
        <v>2713</v>
      </c>
      <c r="D26">
        <v>1063</v>
      </c>
      <c r="E26">
        <v>1650</v>
      </c>
    </row>
    <row r="27" spans="2:5" x14ac:dyDescent="0.25">
      <c r="B27" t="s">
        <v>21</v>
      </c>
      <c r="C27" s="2">
        <f t="shared" si="2"/>
        <v>27350</v>
      </c>
      <c r="D27">
        <v>18258</v>
      </c>
      <c r="E27">
        <v>9092</v>
      </c>
    </row>
    <row r="29" spans="2:5" x14ac:dyDescent="0.25">
      <c r="B29" s="11" t="s">
        <v>0</v>
      </c>
      <c r="C29" s="12" t="s">
        <v>1</v>
      </c>
    </row>
    <row r="30" spans="2:5" x14ac:dyDescent="0.25">
      <c r="B30" s="6" t="s">
        <v>38</v>
      </c>
      <c r="C30" s="2">
        <v>97.35</v>
      </c>
    </row>
    <row r="31" spans="2:5" x14ac:dyDescent="0.25">
      <c r="B31" s="5" t="s">
        <v>25</v>
      </c>
      <c r="C31" s="2">
        <v>98.38</v>
      </c>
    </row>
    <row r="32" spans="2:5" x14ac:dyDescent="0.25">
      <c r="B32" s="5" t="s">
        <v>24</v>
      </c>
      <c r="C32" s="2">
        <v>96.09</v>
      </c>
    </row>
    <row r="33" spans="2:8" x14ac:dyDescent="0.25">
      <c r="B33" s="6" t="s">
        <v>2</v>
      </c>
      <c r="C33" s="2">
        <v>1.21</v>
      </c>
    </row>
    <row r="34" spans="2:8" x14ac:dyDescent="0.25">
      <c r="B34" s="5" t="s">
        <v>25</v>
      </c>
      <c r="C34" s="2">
        <v>0.91</v>
      </c>
    </row>
    <row r="35" spans="2:8" x14ac:dyDescent="0.25">
      <c r="B35" s="5" t="s">
        <v>24</v>
      </c>
      <c r="C35" s="2">
        <v>1.58</v>
      </c>
    </row>
    <row r="36" spans="2:8" x14ac:dyDescent="0.25">
      <c r="B36" s="6" t="s">
        <v>3</v>
      </c>
      <c r="C36" s="2">
        <v>1.44</v>
      </c>
    </row>
    <row r="37" spans="2:8" x14ac:dyDescent="0.25">
      <c r="B37" s="5" t="s">
        <v>25</v>
      </c>
      <c r="C37" s="2">
        <v>0.71</v>
      </c>
    </row>
    <row r="38" spans="2:8" x14ac:dyDescent="0.25">
      <c r="B38" s="5" t="s">
        <v>24</v>
      </c>
      <c r="C38" s="2">
        <v>2.33</v>
      </c>
    </row>
    <row r="40" spans="2:8" x14ac:dyDescent="0.25">
      <c r="B40" s="4" t="s">
        <v>31</v>
      </c>
      <c r="C40" s="4" t="s">
        <v>32</v>
      </c>
      <c r="D40" s="4" t="s">
        <v>33</v>
      </c>
      <c r="E40" s="4" t="s">
        <v>34</v>
      </c>
      <c r="F40" s="4" t="s">
        <v>35</v>
      </c>
      <c r="G40" s="4" t="s">
        <v>36</v>
      </c>
      <c r="H40" s="18" t="s">
        <v>51</v>
      </c>
    </row>
    <row r="41" spans="2:8" x14ac:dyDescent="0.25">
      <c r="B41" s="5" t="s">
        <v>37</v>
      </c>
      <c r="C41" s="20">
        <v>81.872726073952421</v>
      </c>
      <c r="D41" s="20">
        <v>13.739757967357361</v>
      </c>
      <c r="E41" s="20">
        <v>0.84693443300946436</v>
      </c>
      <c r="F41" s="20">
        <v>0.3236692100673112</v>
      </c>
      <c r="G41" s="20">
        <v>3.2169123156134432</v>
      </c>
      <c r="H41" s="19">
        <v>416897</v>
      </c>
    </row>
    <row r="42" spans="2:8" x14ac:dyDescent="0.25">
      <c r="B42" s="5"/>
      <c r="C42" s="3"/>
      <c r="D42" s="3"/>
      <c r="E42" s="3"/>
      <c r="F42" s="3"/>
      <c r="G42" s="3"/>
    </row>
    <row r="43" spans="2:8" x14ac:dyDescent="0.25">
      <c r="B43" s="22" t="s">
        <v>41</v>
      </c>
      <c r="C43" s="22" t="s">
        <v>39</v>
      </c>
      <c r="D43" s="22" t="s">
        <v>1</v>
      </c>
      <c r="G43"/>
    </row>
    <row r="44" spans="2:8" x14ac:dyDescent="0.25">
      <c r="B44" s="8" t="s">
        <v>40</v>
      </c>
      <c r="C44" t="s">
        <v>39</v>
      </c>
      <c r="D44" s="9">
        <v>97.71</v>
      </c>
      <c r="G44"/>
    </row>
    <row r="45" spans="2:8" x14ac:dyDescent="0.25">
      <c r="B45" s="10" t="s">
        <v>42</v>
      </c>
      <c r="C45" t="s">
        <v>39</v>
      </c>
      <c r="D45">
        <v>1.53</v>
      </c>
      <c r="G45"/>
    </row>
    <row r="46" spans="2:8" x14ac:dyDescent="0.25">
      <c r="B46" s="10" t="s">
        <v>43</v>
      </c>
      <c r="C46" t="s">
        <v>39</v>
      </c>
      <c r="D46">
        <v>0.35</v>
      </c>
      <c r="G46"/>
    </row>
    <row r="47" spans="2:8" x14ac:dyDescent="0.25">
      <c r="B47" s="10" t="s">
        <v>44</v>
      </c>
      <c r="C47" t="s">
        <v>39</v>
      </c>
      <c r="D47">
        <v>0.02</v>
      </c>
      <c r="G47"/>
    </row>
    <row r="48" spans="2:8" x14ac:dyDescent="0.25">
      <c r="B48" s="5" t="s">
        <v>45</v>
      </c>
      <c r="C48" t="s">
        <v>39</v>
      </c>
      <c r="D48">
        <v>0.04</v>
      </c>
      <c r="G48"/>
    </row>
    <row r="49" spans="2:10" x14ac:dyDescent="0.25">
      <c r="B49" s="5" t="s">
        <v>30</v>
      </c>
      <c r="C49" t="s">
        <v>39</v>
      </c>
      <c r="D49">
        <v>0.35</v>
      </c>
      <c r="G49"/>
    </row>
    <row r="50" spans="2:10" x14ac:dyDescent="0.25">
      <c r="B50" s="5"/>
      <c r="G50"/>
    </row>
    <row r="51" spans="2:10" x14ac:dyDescent="0.25">
      <c r="B51" s="22" t="s">
        <v>41</v>
      </c>
      <c r="C51" s="22" t="s">
        <v>46</v>
      </c>
      <c r="D51" s="22" t="s">
        <v>1</v>
      </c>
      <c r="G51"/>
    </row>
    <row r="52" spans="2:10" x14ac:dyDescent="0.25">
      <c r="B52" s="8" t="s">
        <v>47</v>
      </c>
      <c r="C52" t="s">
        <v>46</v>
      </c>
      <c r="D52" s="9">
        <v>85.26</v>
      </c>
      <c r="G52"/>
    </row>
    <row r="53" spans="2:10" ht="15" customHeight="1" x14ac:dyDescent="0.25">
      <c r="B53" s="10" t="s">
        <v>48</v>
      </c>
      <c r="C53" t="s">
        <v>46</v>
      </c>
      <c r="D53">
        <v>6.76</v>
      </c>
      <c r="G53"/>
      <c r="I53" s="23"/>
      <c r="J53" s="23"/>
    </row>
    <row r="54" spans="2:10" x14ac:dyDescent="0.25">
      <c r="B54" s="10" t="s">
        <v>49</v>
      </c>
      <c r="C54" t="s">
        <v>46</v>
      </c>
      <c r="D54">
        <v>6.15</v>
      </c>
      <c r="G54"/>
      <c r="I54" s="23"/>
      <c r="J54" s="23"/>
    </row>
    <row r="55" spans="2:10" x14ac:dyDescent="0.25">
      <c r="B55" s="10" t="s">
        <v>43</v>
      </c>
      <c r="C55" t="s">
        <v>46</v>
      </c>
      <c r="D55">
        <v>1.37</v>
      </c>
      <c r="G55"/>
      <c r="I55" s="23"/>
      <c r="J55" s="23"/>
    </row>
    <row r="56" spans="2:10" x14ac:dyDescent="0.25">
      <c r="B56" s="5" t="s">
        <v>50</v>
      </c>
      <c r="C56" t="s">
        <v>46</v>
      </c>
      <c r="D56">
        <v>0.09</v>
      </c>
      <c r="G56"/>
    </row>
    <row r="57" spans="2:10" x14ac:dyDescent="0.25">
      <c r="B57" s="5" t="s">
        <v>30</v>
      </c>
      <c r="C57" t="s">
        <v>46</v>
      </c>
      <c r="D57">
        <v>0.37</v>
      </c>
      <c r="G57"/>
    </row>
    <row r="59" spans="2:10" ht="27" customHeight="1" x14ac:dyDescent="0.25"/>
    <row r="63" spans="2:10" x14ac:dyDescent="0.25">
      <c r="F63" s="13"/>
    </row>
    <row r="64" spans="2:10" x14ac:dyDescent="0.25">
      <c r="F64" s="14"/>
    </row>
  </sheetData>
  <mergeCells count="1">
    <mergeCell ref="B15:C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Imran Khan</dc:creator>
  <cp:lastModifiedBy>Syed Wajih</cp:lastModifiedBy>
  <dcterms:created xsi:type="dcterms:W3CDTF">2015-06-05T18:17:20Z</dcterms:created>
  <dcterms:modified xsi:type="dcterms:W3CDTF">2026-03-13T07:19:06Z</dcterms:modified>
</cp:coreProperties>
</file>